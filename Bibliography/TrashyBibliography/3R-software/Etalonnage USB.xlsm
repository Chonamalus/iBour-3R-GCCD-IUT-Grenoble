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5" yWindow="-15" windowWidth="12120" windowHeight="8640" tabRatio="894" activeTab="5"/>
  </bookViews>
  <sheets>
    <sheet name="Saisie des valeurs" sheetId="8" r:id="rId1"/>
    <sheet name="PV Francais" sheetId="12" r:id="rId2"/>
    <sheet name="PV English" sheetId="15" r:id="rId3"/>
    <sheet name="PV Español" sheetId="16" r:id="rId4"/>
    <sheet name="Liste de choix" sheetId="10" r:id="rId5"/>
    <sheet name="Configuration" sheetId="17" r:id="rId6"/>
    <sheet name="A faire" sheetId="9" r:id="rId7"/>
  </sheets>
  <definedNames>
    <definedName name="Liste_Afficheur_ID">'Liste de choix'!$A$3:$A$9</definedName>
    <definedName name="Liste_Capteur_ID">'Liste de choix'!$I$3:$I$25</definedName>
    <definedName name="Liste_Controleur">'Liste de choix'!$G$3:$G$12</definedName>
    <definedName name="Liste_Peson_ID">'Liste de choix'!$C$3:$C$30</definedName>
    <definedName name="Liste_Pupitre">'Liste de choix'!$E$3:$E$8</definedName>
    <definedName name="_xlnm.Print_Area" localSheetId="2">'PV English'!$B$2:$J$66</definedName>
    <definedName name="_xlnm.Print_Area" localSheetId="3">'PV Español'!$B$2:$J$66</definedName>
    <definedName name="_xlnm.Print_Area" localSheetId="1">'PV Francais'!$B$2:$J$66</definedName>
    <definedName name="_xlnm.Print_Area" localSheetId="0">'Saisie des valeurs'!$B$2:$J$65</definedName>
  </definedNames>
  <calcPr calcId="152511"/>
</workbook>
</file>

<file path=xl/calcChain.xml><?xml version="1.0" encoding="utf-8"?>
<calcChain xmlns="http://schemas.openxmlformats.org/spreadsheetml/2006/main">
  <c r="I5" i="8" l="1"/>
  <c r="I5" i="15" s="1"/>
  <c r="C5" i="15"/>
  <c r="B10" i="15"/>
  <c r="H10" i="15"/>
  <c r="I10" i="15"/>
  <c r="J10" i="15"/>
  <c r="B15" i="15"/>
  <c r="C15" i="15"/>
  <c r="Z17" i="15"/>
  <c r="B20" i="15"/>
  <c r="C20" i="15"/>
  <c r="D20" i="15"/>
  <c r="E20" i="15"/>
  <c r="G20" i="15"/>
  <c r="J20" i="15"/>
  <c r="B26" i="15"/>
  <c r="C26" i="15"/>
  <c r="D26" i="15"/>
  <c r="E26" i="15"/>
  <c r="F26" i="15"/>
  <c r="B34" i="15"/>
  <c r="C34" i="15"/>
  <c r="D34" i="15"/>
  <c r="E34" i="15"/>
  <c r="I34" i="15"/>
  <c r="B35" i="15"/>
  <c r="C35" i="15"/>
  <c r="D35" i="15"/>
  <c r="E35" i="15"/>
  <c r="I35" i="15"/>
  <c r="B36" i="15"/>
  <c r="C36" i="15"/>
  <c r="D36" i="15"/>
  <c r="E36" i="15"/>
  <c r="I36" i="15"/>
  <c r="B37" i="15"/>
  <c r="C37" i="15"/>
  <c r="D37" i="15"/>
  <c r="E37" i="15"/>
  <c r="I37" i="15"/>
  <c r="B38" i="15"/>
  <c r="C38" i="15"/>
  <c r="D38" i="15"/>
  <c r="E38" i="15"/>
  <c r="I38" i="15"/>
  <c r="B39" i="15"/>
  <c r="C39" i="15"/>
  <c r="D39" i="15"/>
  <c r="E39" i="15"/>
  <c r="I39" i="15"/>
  <c r="B40" i="15"/>
  <c r="C40" i="15"/>
  <c r="D40" i="15"/>
  <c r="E40" i="15"/>
  <c r="I40" i="15"/>
  <c r="B41" i="15"/>
  <c r="C41" i="15"/>
  <c r="D41" i="15"/>
  <c r="E41" i="15"/>
  <c r="I41" i="15"/>
  <c r="B42" i="15"/>
  <c r="C42" i="15"/>
  <c r="D42" i="15"/>
  <c r="E42" i="15"/>
  <c r="I42" i="15"/>
  <c r="B43" i="15"/>
  <c r="C43" i="15"/>
  <c r="D43" i="15"/>
  <c r="E43" i="15"/>
  <c r="I43" i="15"/>
  <c r="B44" i="15"/>
  <c r="C44" i="15"/>
  <c r="D44" i="15"/>
  <c r="E44" i="15"/>
  <c r="I44" i="15"/>
  <c r="B45" i="15"/>
  <c r="C45" i="15"/>
  <c r="D45" i="15"/>
  <c r="E45" i="15"/>
  <c r="I45" i="15"/>
  <c r="B46" i="15"/>
  <c r="C46" i="15"/>
  <c r="D46" i="15"/>
  <c r="E46" i="15"/>
  <c r="I46" i="15"/>
  <c r="B47" i="15"/>
  <c r="C47" i="15"/>
  <c r="D47" i="15"/>
  <c r="E47" i="15"/>
  <c r="I47" i="15"/>
  <c r="B48" i="15"/>
  <c r="C48" i="15"/>
  <c r="D48" i="15"/>
  <c r="E48" i="15"/>
  <c r="I48" i="15"/>
  <c r="B49" i="15"/>
  <c r="C49" i="15"/>
  <c r="D49" i="15"/>
  <c r="E49" i="15"/>
  <c r="I49" i="15"/>
  <c r="B50" i="15"/>
  <c r="C50" i="15"/>
  <c r="D50" i="15"/>
  <c r="E50" i="15"/>
  <c r="I50" i="15"/>
  <c r="B51" i="15"/>
  <c r="C51" i="15"/>
  <c r="D51" i="15"/>
  <c r="E51" i="15"/>
  <c r="I51" i="15"/>
  <c r="B52" i="15"/>
  <c r="C52" i="15"/>
  <c r="D52" i="15"/>
  <c r="E52" i="15"/>
  <c r="I52" i="15"/>
  <c r="B53" i="15"/>
  <c r="C53" i="15"/>
  <c r="D53" i="15"/>
  <c r="E53" i="15"/>
  <c r="I53" i="15"/>
  <c r="G59" i="15"/>
  <c r="H59" i="15"/>
  <c r="I59" i="15"/>
  <c r="J59" i="15"/>
  <c r="G60" i="15"/>
  <c r="H60" i="15"/>
  <c r="I60" i="15"/>
  <c r="J60" i="15"/>
  <c r="G61" i="15"/>
  <c r="H61" i="15"/>
  <c r="I61" i="15"/>
  <c r="J61" i="15"/>
  <c r="G62" i="15"/>
  <c r="H62" i="15"/>
  <c r="I62" i="15"/>
  <c r="J62" i="15"/>
  <c r="C5" i="16"/>
  <c r="B10" i="16"/>
  <c r="H10" i="16"/>
  <c r="I10" i="16"/>
  <c r="J10" i="16"/>
  <c r="B15" i="16"/>
  <c r="C15" i="16"/>
  <c r="Z17" i="16"/>
  <c r="B20" i="16"/>
  <c r="C20" i="16"/>
  <c r="D20" i="16"/>
  <c r="E20" i="16"/>
  <c r="G20" i="16"/>
  <c r="J20" i="16"/>
  <c r="B26" i="16"/>
  <c r="C26" i="16"/>
  <c r="D26" i="16"/>
  <c r="E26" i="16"/>
  <c r="F26" i="16"/>
  <c r="B34" i="16"/>
  <c r="C34" i="16"/>
  <c r="D34" i="16"/>
  <c r="E34" i="16"/>
  <c r="I34" i="16"/>
  <c r="B35" i="16"/>
  <c r="C35" i="16"/>
  <c r="D35" i="16"/>
  <c r="E35" i="16"/>
  <c r="I35" i="16"/>
  <c r="B36" i="16"/>
  <c r="C36" i="16"/>
  <c r="D36" i="16"/>
  <c r="E36" i="16"/>
  <c r="I36" i="16"/>
  <c r="B37" i="16"/>
  <c r="C37" i="16"/>
  <c r="D37" i="16"/>
  <c r="E37" i="16"/>
  <c r="I37" i="16"/>
  <c r="B38" i="16"/>
  <c r="C38" i="16"/>
  <c r="D38" i="16"/>
  <c r="E38" i="16"/>
  <c r="I38" i="16"/>
  <c r="B39" i="16"/>
  <c r="C39" i="16"/>
  <c r="D39" i="16"/>
  <c r="E39" i="16"/>
  <c r="I39" i="16"/>
  <c r="B40" i="16"/>
  <c r="C40" i="16"/>
  <c r="D40" i="16"/>
  <c r="E40" i="16"/>
  <c r="I40" i="16"/>
  <c r="B41" i="16"/>
  <c r="C41" i="16"/>
  <c r="D41" i="16"/>
  <c r="E41" i="16"/>
  <c r="I41" i="16"/>
  <c r="B42" i="16"/>
  <c r="C42" i="16"/>
  <c r="D42" i="16"/>
  <c r="E42" i="16"/>
  <c r="I42" i="16"/>
  <c r="B43" i="16"/>
  <c r="C43" i="16"/>
  <c r="D43" i="16"/>
  <c r="E43" i="16"/>
  <c r="I43" i="16"/>
  <c r="B44" i="16"/>
  <c r="C44" i="16"/>
  <c r="D44" i="16"/>
  <c r="E44" i="16"/>
  <c r="I44" i="16"/>
  <c r="B45" i="16"/>
  <c r="C45" i="16"/>
  <c r="D45" i="16"/>
  <c r="E45" i="16"/>
  <c r="I45" i="16"/>
  <c r="B46" i="16"/>
  <c r="C46" i="16"/>
  <c r="D46" i="16"/>
  <c r="E46" i="16"/>
  <c r="I46" i="16"/>
  <c r="B47" i="16"/>
  <c r="C47" i="16"/>
  <c r="D47" i="16"/>
  <c r="E47" i="16"/>
  <c r="I47" i="16"/>
  <c r="B48" i="16"/>
  <c r="C48" i="16"/>
  <c r="D48" i="16"/>
  <c r="E48" i="16"/>
  <c r="I48" i="16"/>
  <c r="B49" i="16"/>
  <c r="C49" i="16"/>
  <c r="D49" i="16"/>
  <c r="E49" i="16"/>
  <c r="I49" i="16"/>
  <c r="B50" i="16"/>
  <c r="C50" i="16"/>
  <c r="D50" i="16"/>
  <c r="E50" i="16"/>
  <c r="I50" i="16"/>
  <c r="B51" i="16"/>
  <c r="C51" i="16"/>
  <c r="D51" i="16"/>
  <c r="E51" i="16"/>
  <c r="I51" i="16"/>
  <c r="B52" i="16"/>
  <c r="C52" i="16"/>
  <c r="D52" i="16"/>
  <c r="E52" i="16"/>
  <c r="I52" i="16"/>
  <c r="B53" i="16"/>
  <c r="C53" i="16"/>
  <c r="D53" i="16"/>
  <c r="E53" i="16"/>
  <c r="I53" i="16"/>
  <c r="G59" i="16"/>
  <c r="H59" i="16"/>
  <c r="I59" i="16"/>
  <c r="J59" i="16"/>
  <c r="G60" i="16"/>
  <c r="H60" i="16"/>
  <c r="I60" i="16"/>
  <c r="J60" i="16"/>
  <c r="G61" i="16"/>
  <c r="H61" i="16"/>
  <c r="I61" i="16"/>
  <c r="J61" i="16"/>
  <c r="G62" i="16"/>
  <c r="H62" i="16"/>
  <c r="I62" i="16"/>
  <c r="J62" i="16"/>
  <c r="C5" i="12"/>
  <c r="B10" i="12"/>
  <c r="H10" i="12"/>
  <c r="I10" i="12"/>
  <c r="J10" i="12"/>
  <c r="B15" i="12"/>
  <c r="C15" i="12"/>
  <c r="Z17" i="12"/>
  <c r="B20" i="12"/>
  <c r="C20" i="12"/>
  <c r="D20" i="12"/>
  <c r="E20" i="12"/>
  <c r="G20" i="12"/>
  <c r="J20" i="12"/>
  <c r="B26" i="12"/>
  <c r="C26" i="12"/>
  <c r="D26" i="12"/>
  <c r="E26" i="12"/>
  <c r="F26" i="12"/>
  <c r="B34" i="12"/>
  <c r="C34" i="12"/>
  <c r="D34" i="12"/>
  <c r="E34" i="12"/>
  <c r="I34" i="12"/>
  <c r="B35" i="12"/>
  <c r="C35" i="12"/>
  <c r="D35" i="12"/>
  <c r="E35" i="12"/>
  <c r="I35" i="12"/>
  <c r="B36" i="12"/>
  <c r="C36" i="12"/>
  <c r="D36" i="12"/>
  <c r="E36" i="12"/>
  <c r="I36" i="12"/>
  <c r="B37" i="12"/>
  <c r="C37" i="12"/>
  <c r="D37" i="12"/>
  <c r="E37" i="12"/>
  <c r="I37" i="12"/>
  <c r="B38" i="12"/>
  <c r="C38" i="12"/>
  <c r="D38" i="12"/>
  <c r="E38" i="12"/>
  <c r="I38" i="12"/>
  <c r="B39" i="12"/>
  <c r="C39" i="12"/>
  <c r="D39" i="12"/>
  <c r="E39" i="12"/>
  <c r="I39" i="12"/>
  <c r="B40" i="12"/>
  <c r="C40" i="12"/>
  <c r="D40" i="12"/>
  <c r="E40" i="12"/>
  <c r="I40" i="12"/>
  <c r="B41" i="12"/>
  <c r="C41" i="12"/>
  <c r="D41" i="12"/>
  <c r="E41" i="12"/>
  <c r="I41" i="12"/>
  <c r="B42" i="12"/>
  <c r="C42" i="12"/>
  <c r="D42" i="12"/>
  <c r="E42" i="12"/>
  <c r="I42" i="12"/>
  <c r="B43" i="12"/>
  <c r="C43" i="12"/>
  <c r="D43" i="12"/>
  <c r="E43" i="12"/>
  <c r="I43" i="12"/>
  <c r="B44" i="12"/>
  <c r="C44" i="12"/>
  <c r="D44" i="12"/>
  <c r="E44" i="12"/>
  <c r="I44" i="12"/>
  <c r="B45" i="12"/>
  <c r="C45" i="12"/>
  <c r="D45" i="12"/>
  <c r="E45" i="12"/>
  <c r="I45" i="12"/>
  <c r="B46" i="12"/>
  <c r="C46" i="12"/>
  <c r="D46" i="12"/>
  <c r="E46" i="12"/>
  <c r="I46" i="12"/>
  <c r="B47" i="12"/>
  <c r="C47" i="12"/>
  <c r="D47" i="12"/>
  <c r="E47" i="12"/>
  <c r="I47" i="12"/>
  <c r="B48" i="12"/>
  <c r="C48" i="12"/>
  <c r="D48" i="12"/>
  <c r="E48" i="12"/>
  <c r="I48" i="12"/>
  <c r="B49" i="12"/>
  <c r="C49" i="12"/>
  <c r="D49" i="12"/>
  <c r="E49" i="12"/>
  <c r="I49" i="12"/>
  <c r="B50" i="12"/>
  <c r="C50" i="12"/>
  <c r="D50" i="12"/>
  <c r="E50" i="12"/>
  <c r="I50" i="12"/>
  <c r="B51" i="12"/>
  <c r="C51" i="12"/>
  <c r="D51" i="12"/>
  <c r="E51" i="12"/>
  <c r="I51" i="12"/>
  <c r="B52" i="12"/>
  <c r="C52" i="12"/>
  <c r="D52" i="12"/>
  <c r="E52" i="12"/>
  <c r="I52" i="12"/>
  <c r="B53" i="12"/>
  <c r="C53" i="12"/>
  <c r="D53" i="12"/>
  <c r="E53" i="12"/>
  <c r="I53" i="12"/>
  <c r="G59" i="12"/>
  <c r="H59" i="12"/>
  <c r="I59" i="12"/>
  <c r="J59" i="12"/>
  <c r="G60" i="12"/>
  <c r="H60" i="12"/>
  <c r="I60" i="12"/>
  <c r="J60" i="12"/>
  <c r="G61" i="12"/>
  <c r="H61" i="12"/>
  <c r="I61" i="12"/>
  <c r="J61" i="12"/>
  <c r="G62" i="12"/>
  <c r="H62" i="12"/>
  <c r="I62" i="12"/>
  <c r="J62" i="12"/>
  <c r="Z17" i="8"/>
  <c r="F34" i="8"/>
  <c r="G34" i="8" s="1"/>
  <c r="G34" i="16" s="1"/>
  <c r="H34" i="8"/>
  <c r="W34" i="8" s="1"/>
  <c r="F35" i="8"/>
  <c r="G35" i="8" s="1"/>
  <c r="G35" i="16" s="1"/>
  <c r="H35" i="8"/>
  <c r="W35" i="8" s="1"/>
  <c r="Y35" i="8"/>
  <c r="F36" i="8"/>
  <c r="G36" i="8" s="1"/>
  <c r="H36" i="8"/>
  <c r="W36" i="8" s="1"/>
  <c r="F37" i="8"/>
  <c r="G37" i="8" s="1"/>
  <c r="G37" i="16" s="1"/>
  <c r="H37" i="8"/>
  <c r="W37" i="8" s="1"/>
  <c r="F38" i="8"/>
  <c r="G38" i="8" s="1"/>
  <c r="H38" i="8"/>
  <c r="W38" i="8" s="1"/>
  <c r="F39" i="8"/>
  <c r="G39" i="8" s="1"/>
  <c r="X39" i="8" s="1"/>
  <c r="H39" i="8"/>
  <c r="W39" i="8" s="1"/>
  <c r="F40" i="8"/>
  <c r="F40" i="16" s="1"/>
  <c r="G40" i="8"/>
  <c r="V40" i="8" s="1"/>
  <c r="H40" i="8"/>
  <c r="W40" i="8" s="1"/>
  <c r="F41" i="8"/>
  <c r="F41" i="15" s="1"/>
  <c r="G41" i="8"/>
  <c r="G41" i="16" s="1"/>
  <c r="H41" i="8"/>
  <c r="W41" i="8" s="1"/>
  <c r="F42" i="8"/>
  <c r="F42" i="16" s="1"/>
  <c r="G42" i="8"/>
  <c r="X42" i="8" s="1"/>
  <c r="H42" i="8"/>
  <c r="W42" i="8" s="1"/>
  <c r="F43" i="8"/>
  <c r="F43" i="15" s="1"/>
  <c r="G43" i="8"/>
  <c r="G43" i="16" s="1"/>
  <c r="H43" i="8"/>
  <c r="W43" i="8" s="1"/>
  <c r="F44" i="8"/>
  <c r="F44" i="16" s="1"/>
  <c r="G44" i="8"/>
  <c r="V44" i="8" s="1"/>
  <c r="H44" i="8"/>
  <c r="F45" i="8"/>
  <c r="F45" i="15" s="1"/>
  <c r="G45" i="8"/>
  <c r="G45" i="16" s="1"/>
  <c r="H45" i="8"/>
  <c r="F46" i="8"/>
  <c r="F46" i="16" s="1"/>
  <c r="G46" i="8"/>
  <c r="X46" i="8" s="1"/>
  <c r="H46" i="8"/>
  <c r="Y46" i="8" s="1"/>
  <c r="F47" i="8"/>
  <c r="F47" i="15" s="1"/>
  <c r="G47" i="8"/>
  <c r="G47" i="12" s="1"/>
  <c r="H47" i="8"/>
  <c r="Y47" i="8" s="1"/>
  <c r="F48" i="8"/>
  <c r="F48" i="16" s="1"/>
  <c r="G48" i="8"/>
  <c r="V48" i="8" s="1"/>
  <c r="H48" i="8"/>
  <c r="Y48" i="8" s="1"/>
  <c r="F49" i="8"/>
  <c r="G49" i="8"/>
  <c r="G49" i="16" s="1"/>
  <c r="H49" i="8"/>
  <c r="H49" i="12" s="1"/>
  <c r="F50" i="8"/>
  <c r="G50" i="8"/>
  <c r="X50" i="8" s="1"/>
  <c r="H50" i="8"/>
  <c r="Y50" i="8" s="1"/>
  <c r="F51" i="8"/>
  <c r="F51" i="15" s="1"/>
  <c r="G51" i="8"/>
  <c r="G51" i="16" s="1"/>
  <c r="H51" i="8"/>
  <c r="Y51" i="8" s="1"/>
  <c r="F52" i="8"/>
  <c r="F52" i="16" s="1"/>
  <c r="G52" i="8"/>
  <c r="V52" i="8" s="1"/>
  <c r="H52" i="8"/>
  <c r="Y52" i="8" s="1"/>
  <c r="F53" i="8"/>
  <c r="F53" i="15" s="1"/>
  <c r="G53" i="8"/>
  <c r="G53" i="16" s="1"/>
  <c r="H53" i="8"/>
  <c r="H53" i="16" s="1"/>
  <c r="X51" i="8"/>
  <c r="V50" i="8"/>
  <c r="V46" i="8"/>
  <c r="V41" i="8"/>
  <c r="V38" i="8"/>
  <c r="X37" i="8"/>
  <c r="X35" i="8"/>
  <c r="G51" i="12"/>
  <c r="H46" i="12"/>
  <c r="F44" i="12"/>
  <c r="H40" i="12"/>
  <c r="F38" i="12"/>
  <c r="G37" i="12"/>
  <c r="F36" i="12"/>
  <c r="F34" i="12"/>
  <c r="F53" i="16"/>
  <c r="G50" i="16"/>
  <c r="H47" i="16"/>
  <c r="H45" i="16"/>
  <c r="G44" i="16"/>
  <c r="G40" i="16"/>
  <c r="F39" i="16"/>
  <c r="F37" i="16"/>
  <c r="H35" i="16"/>
  <c r="G53" i="15"/>
  <c r="F48" i="15"/>
  <c r="H46" i="15"/>
  <c r="G45" i="15"/>
  <c r="G41" i="15"/>
  <c r="F40" i="15"/>
  <c r="F36" i="15"/>
  <c r="G52" i="12"/>
  <c r="H45" i="12"/>
  <c r="G44" i="12"/>
  <c r="F41" i="12"/>
  <c r="F39" i="12"/>
  <c r="G36" i="12"/>
  <c r="H35" i="12"/>
  <c r="F43" i="12" l="1"/>
  <c r="G50" i="12"/>
  <c r="F45" i="16"/>
  <c r="G48" i="16"/>
  <c r="F45" i="12"/>
  <c r="F53" i="12"/>
  <c r="F43" i="16"/>
  <c r="F47" i="16"/>
  <c r="F51" i="16"/>
  <c r="X48" i="8"/>
  <c r="J48" i="8" s="1"/>
  <c r="F35" i="12"/>
  <c r="H39" i="12"/>
  <c r="F35" i="16"/>
  <c r="H39" i="16"/>
  <c r="G35" i="15"/>
  <c r="H36" i="15"/>
  <c r="V34" i="8"/>
  <c r="J51" i="8"/>
  <c r="J51" i="12" s="1"/>
  <c r="G34" i="12"/>
  <c r="H37" i="12"/>
  <c r="H47" i="12"/>
  <c r="F34" i="15"/>
  <c r="F38" i="15"/>
  <c r="H40" i="15"/>
  <c r="F44" i="15"/>
  <c r="F46" i="15"/>
  <c r="G47" i="15"/>
  <c r="G51" i="15"/>
  <c r="H37" i="16"/>
  <c r="G35" i="12"/>
  <c r="F40" i="12"/>
  <c r="H42" i="12"/>
  <c r="F46" i="12"/>
  <c r="F48" i="12"/>
  <c r="G53" i="12"/>
  <c r="V35" i="8"/>
  <c r="X43" i="8"/>
  <c r="X47" i="8"/>
  <c r="J47" i="8" s="1"/>
  <c r="X49" i="8"/>
  <c r="V51" i="8"/>
  <c r="G47" i="16"/>
  <c r="Y37" i="8"/>
  <c r="J37" i="8" s="1"/>
  <c r="J51" i="16"/>
  <c r="J46" i="8"/>
  <c r="H41" i="12"/>
  <c r="G48" i="12"/>
  <c r="H38" i="15"/>
  <c r="H42" i="15"/>
  <c r="G49" i="15"/>
  <c r="H41" i="16"/>
  <c r="G52" i="16"/>
  <c r="H34" i="12"/>
  <c r="G41" i="12"/>
  <c r="G45" i="12"/>
  <c r="G49" i="12"/>
  <c r="X41" i="8"/>
  <c r="X44" i="8"/>
  <c r="V47" i="8"/>
  <c r="V49" i="8"/>
  <c r="X53" i="8"/>
  <c r="G50" i="15"/>
  <c r="G48" i="15"/>
  <c r="Y36" i="8"/>
  <c r="V53" i="8"/>
  <c r="G42" i="12"/>
  <c r="G43" i="15"/>
  <c r="H50" i="15"/>
  <c r="G42" i="16"/>
  <c r="H38" i="12"/>
  <c r="H50" i="12"/>
  <c r="V42" i="8"/>
  <c r="V45" i="8"/>
  <c r="J50" i="8"/>
  <c r="F37" i="12"/>
  <c r="G40" i="12"/>
  <c r="G46" i="12"/>
  <c r="H34" i="15"/>
  <c r="G37" i="15"/>
  <c r="G46" i="16"/>
  <c r="G43" i="12"/>
  <c r="J35" i="8"/>
  <c r="J35" i="16" s="1"/>
  <c r="X40" i="8"/>
  <c r="V43" i="8"/>
  <c r="X45" i="8"/>
  <c r="X52" i="8"/>
  <c r="J52" i="8" s="1"/>
  <c r="J52" i="15" s="1"/>
  <c r="G52" i="15"/>
  <c r="G46" i="15"/>
  <c r="G44" i="15"/>
  <c r="G42" i="15"/>
  <c r="G40" i="15"/>
  <c r="Y34" i="8"/>
  <c r="I5" i="12"/>
  <c r="I5" i="16"/>
  <c r="J35" i="15"/>
  <c r="J52" i="12"/>
  <c r="W53" i="8"/>
  <c r="H53" i="15"/>
  <c r="W49" i="8"/>
  <c r="H49" i="15"/>
  <c r="G39" i="16"/>
  <c r="G39" i="12"/>
  <c r="G39" i="15"/>
  <c r="G36" i="15"/>
  <c r="V36" i="8"/>
  <c r="W52" i="8"/>
  <c r="H52" i="16"/>
  <c r="H52" i="12"/>
  <c r="H52" i="15"/>
  <c r="W48" i="8"/>
  <c r="H48" i="16"/>
  <c r="H53" i="12"/>
  <c r="H48" i="15"/>
  <c r="F52" i="15"/>
  <c r="H48" i="12"/>
  <c r="F52" i="12"/>
  <c r="X36" i="8"/>
  <c r="W51" i="8"/>
  <c r="H51" i="15"/>
  <c r="H51" i="16"/>
  <c r="H51" i="12"/>
  <c r="F50" i="16"/>
  <c r="F50" i="12"/>
  <c r="F50" i="15"/>
  <c r="W47" i="8"/>
  <c r="H47" i="15"/>
  <c r="G38" i="15"/>
  <c r="X38" i="8"/>
  <c r="G38" i="16"/>
  <c r="G38" i="12"/>
  <c r="G34" i="15"/>
  <c r="X34" i="8"/>
  <c r="J50" i="12"/>
  <c r="F47" i="12"/>
  <c r="F51" i="12"/>
  <c r="G36" i="16"/>
  <c r="H49" i="16"/>
  <c r="V37" i="8"/>
  <c r="V39" i="8"/>
  <c r="Y53" i="8"/>
  <c r="J53" i="8" s="1"/>
  <c r="W50" i="8"/>
  <c r="H50" i="16"/>
  <c r="Y49" i="8"/>
  <c r="F49" i="15"/>
  <c r="F49" i="16"/>
  <c r="F49" i="12"/>
  <c r="W46" i="8"/>
  <c r="H46" i="16"/>
  <c r="W45" i="8"/>
  <c r="Y45" i="8"/>
  <c r="H45" i="15"/>
  <c r="W44" i="8"/>
  <c r="Y44" i="8"/>
  <c r="J44" i="8" s="1"/>
  <c r="H44" i="16"/>
  <c r="H44" i="12"/>
  <c r="H44" i="15"/>
  <c r="H43" i="12"/>
  <c r="F42" i="15"/>
  <c r="F41" i="16"/>
  <c r="H43" i="16"/>
  <c r="H36" i="12"/>
  <c r="F42" i="12"/>
  <c r="H43" i="15"/>
  <c r="H42" i="16"/>
  <c r="H41" i="15"/>
  <c r="H40" i="16"/>
  <c r="H39" i="15"/>
  <c r="F39" i="15"/>
  <c r="H38" i="16"/>
  <c r="F38" i="16"/>
  <c r="H37" i="15"/>
  <c r="F37" i="15"/>
  <c r="H36" i="16"/>
  <c r="F36" i="16"/>
  <c r="H35" i="15"/>
  <c r="F35" i="15"/>
  <c r="H34" i="16"/>
  <c r="F34" i="16"/>
  <c r="Y43" i="8"/>
  <c r="J43" i="8" s="1"/>
  <c r="Y42" i="8"/>
  <c r="J42" i="8" s="1"/>
  <c r="Y41" i="8"/>
  <c r="J41" i="8" s="1"/>
  <c r="Y40" i="8"/>
  <c r="Y39" i="8"/>
  <c r="J39" i="8" s="1"/>
  <c r="Y38" i="8"/>
  <c r="J51" i="15" l="1"/>
  <c r="J49" i="8"/>
  <c r="J49" i="12" s="1"/>
  <c r="J52" i="16"/>
  <c r="J35" i="12"/>
  <c r="J37" i="16"/>
  <c r="J37" i="12"/>
  <c r="J37" i="15"/>
  <c r="J47" i="16"/>
  <c r="J47" i="12"/>
  <c r="J47" i="15"/>
  <c r="J45" i="8"/>
  <c r="J45" i="12" s="1"/>
  <c r="J46" i="15"/>
  <c r="J46" i="16"/>
  <c r="J40" i="8"/>
  <c r="J40" i="15" s="1"/>
  <c r="J34" i="8"/>
  <c r="J34" i="15" s="1"/>
  <c r="J36" i="8"/>
  <c r="J36" i="16" s="1"/>
  <c r="J50" i="15"/>
  <c r="J50" i="16"/>
  <c r="J46" i="12"/>
  <c r="J39" i="12"/>
  <c r="J39" i="16"/>
  <c r="J39" i="15"/>
  <c r="J45" i="15"/>
  <c r="J44" i="12"/>
  <c r="J44" i="15"/>
  <c r="J44" i="16"/>
  <c r="J42" i="16"/>
  <c r="J42" i="15"/>
  <c r="J42" i="12"/>
  <c r="J49" i="16"/>
  <c r="J53" i="15"/>
  <c r="J53" i="12"/>
  <c r="J53" i="16"/>
  <c r="J48" i="15"/>
  <c r="J48" i="16"/>
  <c r="J48" i="12"/>
  <c r="J43" i="12"/>
  <c r="J43" i="15"/>
  <c r="J43" i="16"/>
  <c r="J36" i="12"/>
  <c r="J41" i="12"/>
  <c r="J41" i="16"/>
  <c r="J41" i="15"/>
  <c r="J38" i="8"/>
  <c r="J40" i="12" l="1"/>
  <c r="J49" i="15"/>
  <c r="J45" i="16"/>
  <c r="J34" i="16"/>
  <c r="J36" i="15"/>
  <c r="J40" i="16"/>
  <c r="J34" i="12"/>
  <c r="J38" i="16"/>
  <c r="J38" i="12"/>
  <c r="J38" i="15"/>
  <c r="J56" i="8"/>
  <c r="J56" i="15" l="1"/>
  <c r="J56" i="16"/>
  <c r="J56" i="12"/>
</calcChain>
</file>

<file path=xl/sharedStrings.xml><?xml version="1.0" encoding="utf-8"?>
<sst xmlns="http://schemas.openxmlformats.org/spreadsheetml/2006/main" count="303" uniqueCount="171">
  <si>
    <t>Client :</t>
  </si>
  <si>
    <t>Afficheur</t>
  </si>
  <si>
    <t>N°</t>
  </si>
  <si>
    <t>Résolution</t>
  </si>
  <si>
    <t>Erreur de</t>
  </si>
  <si>
    <t>justesse</t>
  </si>
  <si>
    <t>fidélité</t>
  </si>
  <si>
    <t>%</t>
  </si>
  <si>
    <t>MOYENNE</t>
  </si>
  <si>
    <t>REMARQUES :</t>
  </si>
  <si>
    <t>Justesse</t>
  </si>
  <si>
    <t>N° de serie</t>
  </si>
  <si>
    <t>Date d'étalonnage :</t>
  </si>
  <si>
    <t>Type</t>
  </si>
  <si>
    <t>Capteur</t>
  </si>
  <si>
    <t>Marque</t>
  </si>
  <si>
    <t>Pupitre</t>
  </si>
  <si>
    <t>Presse</t>
  </si>
  <si>
    <t>Plage du</t>
  </si>
  <si>
    <t>Le controleur</t>
  </si>
  <si>
    <t>absolu</t>
  </si>
  <si>
    <t>Controleur</t>
  </si>
  <si>
    <t>Pouvoir travailler en valeur indiquée</t>
  </si>
  <si>
    <t>Ajouter une procédure de contrôle du retour à zéro</t>
  </si>
  <si>
    <t>Cas des vérin hydraulique (type 3000 kN) avec petite échelle</t>
  </si>
  <si>
    <t>Faire une procédure de convertion automatique mV/V -&gt; kN</t>
  </si>
  <si>
    <t>Peson</t>
  </si>
  <si>
    <t>HBM-MVD2420</t>
  </si>
  <si>
    <t>Quantech</t>
  </si>
  <si>
    <t>Quantium</t>
  </si>
  <si>
    <t>C SOL</t>
  </si>
  <si>
    <t>F POUXVIEL</t>
  </si>
  <si>
    <t>S BERTRANDA</t>
  </si>
  <si>
    <t>S PISTOUILLER</t>
  </si>
  <si>
    <t>Classe</t>
  </si>
  <si>
    <t>Resolution</t>
  </si>
  <si>
    <t xml:space="preserve">CLASSE DE LA MACHINE : </t>
  </si>
  <si>
    <t>RECHERCHES &amp; REALISATIONS REMY-ZI NORD 82000 MONTAUBAN-Tél : + 33 563 66 52 80-Fax : + 33 563 66 52 71-Email:contact.commercial@3r-rpp.com</t>
  </si>
  <si>
    <t>Modèle</t>
  </si>
  <si>
    <t>kN</t>
  </si>
  <si>
    <t>Identification</t>
  </si>
  <si>
    <t>Piston sorti de</t>
  </si>
  <si>
    <t>mm</t>
  </si>
  <si>
    <t>Indications</t>
  </si>
  <si>
    <t>INDICATIONS</t>
  </si>
  <si>
    <t>Etendue de mesure</t>
  </si>
  <si>
    <t>PROCES VERBAL DE CONTRÔLE</t>
  </si>
  <si>
    <t>Plage contrôlée</t>
  </si>
  <si>
    <t>Temp. ambiante</t>
  </si>
  <si>
    <t>°C</t>
  </si>
  <si>
    <t>Date de contrôle :</t>
  </si>
  <si>
    <t>CONTROL REPORT</t>
  </si>
  <si>
    <t>Customer:</t>
  </si>
  <si>
    <t>Date of control:</t>
  </si>
  <si>
    <t>Serial number</t>
  </si>
  <si>
    <t>Brand</t>
  </si>
  <si>
    <t>Load cell</t>
  </si>
  <si>
    <t>Display</t>
  </si>
  <si>
    <t>Cylinder stroke</t>
  </si>
  <si>
    <t>Controled range</t>
  </si>
  <si>
    <t>Air temperature</t>
  </si>
  <si>
    <t>Inspector</t>
  </si>
  <si>
    <t>Frame</t>
  </si>
  <si>
    <t>Sensor</t>
  </si>
  <si>
    <t>Control unit</t>
  </si>
  <si>
    <t>values</t>
  </si>
  <si>
    <t>VALUES</t>
  </si>
  <si>
    <t>Accurancy</t>
  </si>
  <si>
    <t>Fidelity</t>
  </si>
  <si>
    <t>Class</t>
  </si>
  <si>
    <t>AVERAGE</t>
  </si>
  <si>
    <t xml:space="preserve">CLASS: </t>
  </si>
  <si>
    <t xml:space="preserve">CLASSE : </t>
  </si>
  <si>
    <t>Inspector:</t>
  </si>
  <si>
    <t>RECHERCHES &amp; REALISATIONS REMY-ZI NORD 82000 MONTAUBAN - Tel: + 33 563 66 52 80 - Fax: + 33 563 66 52 71 - email: contact.commercial@3r-rpp.com</t>
  </si>
  <si>
    <t>OBSERVATIONS:</t>
  </si>
  <si>
    <t>AEP - C2S - 200 kN - 311375</t>
  </si>
  <si>
    <t>Pression - HYDAC - 4745 A 400 222</t>
  </si>
  <si>
    <t>AEP - C2S - 50 kN - 212856</t>
  </si>
  <si>
    <t>AEP - C2S - 25 kN - 308645</t>
  </si>
  <si>
    <t>AEP - C2S - 200 kN - 311366</t>
  </si>
  <si>
    <t>HBM - SPIDER8 - F07014</t>
  </si>
  <si>
    <t>Pression - DRUCK PTX610 - 400 bar</t>
  </si>
  <si>
    <t>Pression - DRUCK PTX510 - 400 bar</t>
  </si>
  <si>
    <t>Pression - DRUCK PTX510 - 700 bar</t>
  </si>
  <si>
    <t>Pression - DRUCK PTX610 - 250 bar</t>
  </si>
  <si>
    <t>Pression - DRUCK PTX610 - 700 bar</t>
  </si>
  <si>
    <t>Pression -  HBM - 500 BAR</t>
  </si>
  <si>
    <t>Force - MESCAM - LFSCP SS</t>
  </si>
  <si>
    <t>Force - AEP - TC4</t>
  </si>
  <si>
    <t>Range</t>
  </si>
  <si>
    <t>Cliente:</t>
  </si>
  <si>
    <t>Fecha de control:</t>
  </si>
  <si>
    <t>Repuerto de verificacion</t>
  </si>
  <si>
    <t>Patron</t>
  </si>
  <si>
    <t>Identificacion</t>
  </si>
  <si>
    <t>Numero de serie</t>
  </si>
  <si>
    <t>Tipo</t>
  </si>
  <si>
    <t>Prensa</t>
  </si>
  <si>
    <t>Marca</t>
  </si>
  <si>
    <t>Escala</t>
  </si>
  <si>
    <t>Verificador</t>
  </si>
  <si>
    <t xml:space="preserve">Temperatura del </t>
  </si>
  <si>
    <t>aire °C</t>
  </si>
  <si>
    <t>Escala controlada</t>
  </si>
  <si>
    <t>Salida del piston</t>
  </si>
  <si>
    <t>Valores del</t>
  </si>
  <si>
    <t>Media</t>
  </si>
  <si>
    <t>Clase</t>
  </si>
  <si>
    <t>HBM-SCOUT 55 - N°1</t>
  </si>
  <si>
    <t>HBM-SCOUT 55 - N°2</t>
  </si>
  <si>
    <t>HBM - C2 - 2000 kN - H32636</t>
  </si>
  <si>
    <t>HBM - C2 - 20 kN - J 36554</t>
  </si>
  <si>
    <t>HBM - C2 - 50 kN - G 56861</t>
  </si>
  <si>
    <t>C THEPAUT</t>
  </si>
  <si>
    <t>HBM - C2 - 200 kN - 044630139</t>
  </si>
  <si>
    <t>HBM - C6 - 2000 kN - E07809</t>
  </si>
  <si>
    <t>AEP - C2S - 10 kN - 304019</t>
  </si>
  <si>
    <t>AEP - C2S - 25 kN - 420410</t>
  </si>
  <si>
    <t>AEP - C2S - 200 kN - 315541</t>
  </si>
  <si>
    <t>AEP - C2S - 200 kN - 500262</t>
  </si>
  <si>
    <t>UTILCELL - 470 - 2000 kN - 735067</t>
  </si>
  <si>
    <t>Pression - HYDAC - 4745 A 500 222</t>
  </si>
  <si>
    <t>AEP - C2S - 50 kN - 418951</t>
  </si>
  <si>
    <t>INTERFACE - SSM-AJ-10kN - C84626</t>
  </si>
  <si>
    <t>JFC</t>
  </si>
  <si>
    <t>Quantris 3</t>
  </si>
  <si>
    <t>Techtris</t>
  </si>
  <si>
    <t>N° de série</t>
  </si>
  <si>
    <t>HBM-SCOUT 55 - N°103 791 008</t>
  </si>
  <si>
    <t>B CAZES</t>
  </si>
  <si>
    <t>Force</t>
  </si>
  <si>
    <t>Commande</t>
  </si>
  <si>
    <t>HL GAPILLOU</t>
  </si>
  <si>
    <t>Softris</t>
  </si>
  <si>
    <t>Syntech</t>
  </si>
  <si>
    <t>T ZOPPIS</t>
  </si>
  <si>
    <t>L MAGNANO</t>
  </si>
  <si>
    <t>CERIB M2246</t>
  </si>
  <si>
    <t>HBM S9M - 10 KN</t>
  </si>
  <si>
    <t>C BOUSQUET</t>
  </si>
  <si>
    <t>Configuration du port</t>
  </si>
  <si>
    <t>Numero de Port</t>
  </si>
  <si>
    <t>Chaine de Configuration</t>
  </si>
  <si>
    <t>115200,N,8,1</t>
  </si>
  <si>
    <t>Conditionneur</t>
  </si>
  <si>
    <t>0mV/V</t>
  </si>
  <si>
    <t>2mV/V</t>
  </si>
  <si>
    <t>HBM 2000kN N° H32636</t>
  </si>
  <si>
    <t>HBM 200kN N°044630139</t>
  </si>
  <si>
    <t>AEP 200kN N°311366</t>
  </si>
  <si>
    <t>AEP 200kN N°315541</t>
  </si>
  <si>
    <t>HBM 50kN N°G56861</t>
  </si>
  <si>
    <t>AEP 50kN N°212856</t>
  </si>
  <si>
    <t>AEP 50kN N°418951</t>
  </si>
  <si>
    <t>AEP 25kN N°308645</t>
  </si>
  <si>
    <t>3R Conditionneur n°2013-01-057</t>
  </si>
  <si>
    <t>3R Conditionneur n°2013-01-087</t>
  </si>
  <si>
    <t>3R Conditionneur n°2013-01-089</t>
  </si>
  <si>
    <t>3R Conditionneur n°2013-01-103</t>
  </si>
  <si>
    <t>3R Conditionneur n°2013-01-106</t>
  </si>
  <si>
    <t>Client</t>
  </si>
  <si>
    <t>HBM 20kN N°J36554</t>
  </si>
  <si>
    <t>du pupitre</t>
  </si>
  <si>
    <t>DU PESON</t>
  </si>
  <si>
    <t>LOAD CELL</t>
  </si>
  <si>
    <t>pupitre</t>
  </si>
  <si>
    <t>Valores del patron</t>
  </si>
  <si>
    <t>3R Conditionneur n°2014-01-026</t>
  </si>
  <si>
    <t>AEP 10kN N° 1</t>
  </si>
  <si>
    <t>3R Conditionneur n°2014-01-016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</si>
</sst>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mm/dd/yyyy"/>
    <numFmt numFmtId="167" formatCode="0.00000"/>
  </numFmts>
  <fonts count="32">
    <font>
      <sz val="10"/>
      <name val="Geneva"/>
    </font>
    <font>
      <sz val="10"/>
      <name val="Arial"/>
      <family val="2"/>
    </font>
    <font>
      <b/>
      <sz val="12"/>
      <name val="Arial"/>
      <family val="2"/>
    </font>
    <font>
      <b/>
      <sz val="24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u/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6.2"/>
      <name val="Arial"/>
      <family val="2"/>
    </font>
    <font>
      <b/>
      <sz val="10"/>
      <name val="Arial"/>
      <family val="2"/>
    </font>
    <font>
      <b/>
      <sz val="10"/>
      <color indexed="14"/>
      <name val="Arial"/>
      <family val="2"/>
    </font>
    <font>
      <b/>
      <sz val="10"/>
      <color indexed="4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name val="Comic Sans MS"/>
      <family val="4"/>
    </font>
    <font>
      <sz val="10"/>
      <name val="Comic Sans MS"/>
      <family val="4"/>
    </font>
  </fonts>
  <fills count="2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51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6">
    <xf numFmtId="0" fontId="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1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4" fillId="9" borderId="0" applyNumberFormat="0" applyBorder="0" applyAlignment="0" applyProtection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5" fillId="0" borderId="0" applyNumberFormat="0" applyFill="0" applyBorder="0" applyAlignment="0" applyProtection="0"/>
    <xf numFmtId="0" fontId="22" fillId="18" borderId="1" applyNumberFormat="0" applyAlignment="0" applyProtection="0"/>
    <xf numFmtId="0" fontId="23" fillId="0" borderId="2" applyNumberFormat="0" applyFill="0" applyAlignment="0" applyProtection="0"/>
    <xf numFmtId="0" fontId="1" fillId="10" borderId="4" applyNumberFormat="0" applyFont="0" applyAlignment="0" applyProtection="0"/>
    <xf numFmtId="0" fontId="16" fillId="7" borderId="1" applyNumberFormat="0" applyAlignment="0" applyProtection="0"/>
    <xf numFmtId="0" fontId="17" fillId="3" borderId="0" applyNumberFormat="0" applyBorder="0" applyAlignment="0" applyProtection="0"/>
    <xf numFmtId="0" fontId="25" fillId="13" borderId="0" applyNumberFormat="0" applyBorder="0" applyAlignment="0" applyProtection="0"/>
    <xf numFmtId="0" fontId="24" fillId="0" borderId="0"/>
    <xf numFmtId="0" fontId="18" fillId="4" borderId="0" applyNumberFormat="0" applyBorder="0" applyAlignment="0" applyProtection="0"/>
    <xf numFmtId="0" fontId="19" fillId="18" borderId="5" applyNumberFormat="0" applyAlignment="0" applyProtection="0"/>
    <xf numFmtId="0" fontId="2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9" fillId="0" borderId="8" applyNumberFormat="0" applyFill="0" applyAlignment="0" applyProtection="0"/>
    <xf numFmtId="0" fontId="29" fillId="0" borderId="0" applyNumberFormat="0" applyFill="0" applyBorder="0" applyAlignment="0" applyProtection="0"/>
    <xf numFmtId="0" fontId="21" fillId="19" borderId="3" applyNumberFormat="0" applyAlignment="0" applyProtection="0"/>
  </cellStyleXfs>
  <cellXfs count="154">
    <xf numFmtId="0" fontId="0" fillId="0" borderId="0" xfId="0"/>
    <xf numFmtId="0" fontId="1" fillId="0" borderId="0" xfId="0" applyFont="1" applyFill="1" applyBorder="1" applyProtection="1"/>
    <xf numFmtId="0" fontId="1" fillId="0" borderId="0" xfId="0" applyFont="1" applyFill="1" applyProtection="1"/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5" fillId="0" borderId="9" xfId="0" applyFont="1" applyFill="1" applyBorder="1" applyAlignment="1" applyProtection="1">
      <alignment horizontal="right"/>
    </xf>
    <xf numFmtId="15" fontId="5" fillId="0" borderId="10" xfId="0" applyNumberFormat="1" applyFont="1" applyFill="1" applyBorder="1" applyAlignment="1" applyProtection="1">
      <alignment horizontal="right"/>
    </xf>
    <xf numFmtId="0" fontId="4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11" xfId="0" applyFont="1" applyFill="1" applyBorder="1" applyAlignment="1" applyProtection="1">
      <alignment horizontal="center"/>
    </xf>
    <xf numFmtId="0" fontId="5" fillId="0" borderId="12" xfId="0" applyFont="1" applyFill="1" applyBorder="1" applyAlignment="1" applyProtection="1">
      <alignment horizontal="center"/>
    </xf>
    <xf numFmtId="0" fontId="5" fillId="0" borderId="13" xfId="0" applyFont="1" applyFill="1" applyBorder="1" applyAlignment="1" applyProtection="1">
      <alignment horizontal="center"/>
    </xf>
    <xf numFmtId="0" fontId="5" fillId="0" borderId="14" xfId="0" applyFont="1" applyFill="1" applyBorder="1" applyAlignment="1" applyProtection="1">
      <alignment horizontal="center"/>
    </xf>
    <xf numFmtId="0" fontId="5" fillId="0" borderId="15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2" fillId="0" borderId="18" xfId="0" applyFont="1" applyFill="1" applyBorder="1" applyAlignment="1" applyProtection="1">
      <alignment horizontal="center"/>
    </xf>
    <xf numFmtId="0" fontId="2" fillId="0" borderId="19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/>
    </xf>
    <xf numFmtId="0" fontId="2" fillId="0" borderId="21" xfId="0" applyFont="1" applyFill="1" applyBorder="1" applyAlignment="1" applyProtection="1">
      <alignment horizontal="center"/>
    </xf>
    <xf numFmtId="0" fontId="2" fillId="0" borderId="22" xfId="0" applyFont="1" applyFill="1" applyBorder="1" applyAlignment="1" applyProtection="1">
      <alignment horizontal="center"/>
    </xf>
    <xf numFmtId="10" fontId="4" fillId="0" borderId="20" xfId="0" applyNumberFormat="1" applyFont="1" applyFill="1" applyBorder="1" applyAlignment="1" applyProtection="1">
      <alignment horizontal="center"/>
    </xf>
    <xf numFmtId="10" fontId="4" fillId="0" borderId="16" xfId="0" applyNumberFormat="1" applyFont="1" applyFill="1" applyBorder="1" applyAlignment="1" applyProtection="1">
      <alignment horizontal="center"/>
    </xf>
    <xf numFmtId="10" fontId="4" fillId="0" borderId="21" xfId="0" applyNumberFormat="1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10" fontId="2" fillId="0" borderId="0" xfId="0" applyNumberFormat="1" applyFont="1" applyFill="1" applyBorder="1" applyAlignment="1" applyProtection="1">
      <alignment horizontal="left"/>
    </xf>
    <xf numFmtId="0" fontId="4" fillId="0" borderId="19" xfId="0" applyFont="1" applyFill="1" applyBorder="1" applyProtection="1"/>
    <xf numFmtId="0" fontId="4" fillId="0" borderId="23" xfId="0" applyFont="1" applyFill="1" applyBorder="1" applyProtection="1"/>
    <xf numFmtId="0" fontId="4" fillId="0" borderId="24" xfId="0" applyFont="1" applyFill="1" applyBorder="1" applyProtection="1"/>
    <xf numFmtId="0" fontId="4" fillId="0" borderId="20" xfId="0" applyFont="1" applyFill="1" applyBorder="1" applyProtection="1"/>
    <xf numFmtId="0" fontId="4" fillId="0" borderId="25" xfId="0" applyFont="1" applyFill="1" applyBorder="1" applyProtection="1"/>
    <xf numFmtId="0" fontId="4" fillId="0" borderId="20" xfId="0" applyFont="1" applyFill="1" applyBorder="1" applyAlignment="1" applyProtection="1">
      <alignment horizontal="left"/>
    </xf>
    <xf numFmtId="0" fontId="4" fillId="0" borderId="26" xfId="0" applyFont="1" applyFill="1" applyBorder="1" applyProtection="1"/>
    <xf numFmtId="0" fontId="4" fillId="0" borderId="27" xfId="0" applyFont="1" applyFill="1" applyBorder="1" applyProtection="1"/>
    <xf numFmtId="0" fontId="1" fillId="0" borderId="20" xfId="0" applyFont="1" applyFill="1" applyBorder="1" applyProtection="1"/>
    <xf numFmtId="0" fontId="4" fillId="20" borderId="20" xfId="0" applyFont="1" applyFill="1" applyBorder="1" applyAlignment="1" applyProtection="1">
      <alignment horizontal="center"/>
      <protection locked="0"/>
    </xf>
    <xf numFmtId="0" fontId="4" fillId="20" borderId="26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0" fontId="1" fillId="20" borderId="28" xfId="0" applyFont="1" applyFill="1" applyBorder="1" applyAlignment="1" applyProtection="1">
      <alignment horizontal="center"/>
      <protection locked="0"/>
    </xf>
    <xf numFmtId="0" fontId="1" fillId="20" borderId="29" xfId="0" applyFont="1" applyFill="1" applyBorder="1" applyAlignment="1" applyProtection="1">
      <alignment horizontal="center"/>
      <protection locked="0"/>
    </xf>
    <xf numFmtId="0" fontId="1" fillId="20" borderId="30" xfId="0" applyFont="1" applyFill="1" applyBorder="1" applyAlignment="1" applyProtection="1">
      <alignment horizontal="center"/>
      <protection locked="0"/>
    </xf>
    <xf numFmtId="0" fontId="1" fillId="20" borderId="31" xfId="0" applyFont="1" applyFill="1" applyBorder="1" applyAlignment="1" applyProtection="1">
      <alignment horizontal="center"/>
      <protection locked="0"/>
    </xf>
    <xf numFmtId="0" fontId="1" fillId="0" borderId="16" xfId="0" applyFont="1" applyFill="1" applyBorder="1" applyProtection="1"/>
    <xf numFmtId="0" fontId="1" fillId="0" borderId="21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Alignment="1" applyProtection="1">
      <alignment horizontal="right"/>
    </xf>
    <xf numFmtId="15" fontId="5" fillId="0" borderId="0" xfId="0" applyNumberFormat="1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15" fontId="1" fillId="0" borderId="0" xfId="0" applyNumberFormat="1" applyFont="1" applyFill="1" applyBorder="1" applyAlignment="1" applyProtection="1">
      <alignment horizontal="left"/>
    </xf>
    <xf numFmtId="0" fontId="1" fillId="0" borderId="18" xfId="0" applyFont="1" applyFill="1" applyBorder="1" applyAlignment="1" applyProtection="1">
      <alignment horizontal="center"/>
    </xf>
    <xf numFmtId="0" fontId="1" fillId="0" borderId="16" xfId="0" applyFont="1" applyFill="1" applyBorder="1" applyAlignment="1" applyProtection="1">
      <alignment horizontal="center"/>
    </xf>
    <xf numFmtId="0" fontId="1" fillId="0" borderId="21" xfId="0" applyFont="1" applyFill="1" applyBorder="1" applyAlignment="1" applyProtection="1">
      <alignment horizontal="center"/>
    </xf>
    <xf numFmtId="0" fontId="4" fillId="0" borderId="16" xfId="0" applyNumberFormat="1" applyFont="1" applyFill="1" applyBorder="1" applyAlignment="1" applyProtection="1">
      <alignment horizontal="center"/>
    </xf>
    <xf numFmtId="0" fontId="4" fillId="0" borderId="21" xfId="0" applyNumberFormat="1" applyFont="1" applyFill="1" applyBorder="1" applyAlignment="1" applyProtection="1">
      <alignment horizontal="center"/>
    </xf>
    <xf numFmtId="0" fontId="4" fillId="0" borderId="18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Protection="1"/>
    <xf numFmtId="165" fontId="4" fillId="0" borderId="20" xfId="0" applyNumberFormat="1" applyFont="1" applyFill="1" applyBorder="1" applyAlignment="1" applyProtection="1">
      <alignment horizontal="center"/>
    </xf>
    <xf numFmtId="165" fontId="4" fillId="0" borderId="21" xfId="0" applyNumberFormat="1" applyFont="1" applyFill="1" applyBorder="1" applyAlignment="1" applyProtection="1">
      <alignment horizontal="center"/>
    </xf>
    <xf numFmtId="15" fontId="1" fillId="0" borderId="10" xfId="0" applyNumberFormat="1" applyFont="1" applyFill="1" applyBorder="1" applyAlignment="1" applyProtection="1">
      <alignment horizontal="left"/>
    </xf>
    <xf numFmtId="0" fontId="1" fillId="0" borderId="30" xfId="0" applyFont="1" applyFill="1" applyBorder="1" applyAlignment="1" applyProtection="1">
      <alignment horizontal="center"/>
    </xf>
    <xf numFmtId="0" fontId="1" fillId="0" borderId="31" xfId="0" applyFont="1" applyFill="1" applyBorder="1" applyAlignment="1" applyProtection="1">
      <alignment horizontal="center"/>
    </xf>
    <xf numFmtId="0" fontId="1" fillId="0" borderId="29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4" fillId="0" borderId="21" xfId="0" applyFont="1" applyFill="1" applyBorder="1" applyAlignment="1" applyProtection="1">
      <alignment horizontal="center"/>
    </xf>
    <xf numFmtId="0" fontId="4" fillId="20" borderId="16" xfId="0" applyNumberFormat="1" applyFont="1" applyFill="1" applyBorder="1" applyAlignment="1" applyProtection="1">
      <alignment horizontal="center"/>
      <protection locked="0"/>
    </xf>
    <xf numFmtId="0" fontId="4" fillId="20" borderId="21" xfId="0" applyNumberFormat="1" applyFont="1" applyFill="1" applyBorder="1" applyAlignment="1" applyProtection="1">
      <alignment horizontal="center"/>
      <protection locked="0"/>
    </xf>
    <xf numFmtId="0" fontId="5" fillId="0" borderId="32" xfId="0" applyFont="1" applyFill="1" applyBorder="1" applyAlignment="1" applyProtection="1">
      <alignment horizontal="left"/>
    </xf>
    <xf numFmtId="0" fontId="2" fillId="0" borderId="9" xfId="0" applyFont="1" applyFill="1" applyBorder="1" applyAlignment="1" applyProtection="1">
      <alignment horizontal="center"/>
    </xf>
    <xf numFmtId="15" fontId="1" fillId="0" borderId="10" xfId="0" applyNumberFormat="1" applyFont="1" applyFill="1" applyBorder="1" applyAlignment="1" applyProtection="1">
      <alignment horizontal="left"/>
      <protection locked="0"/>
    </xf>
    <xf numFmtId="0" fontId="5" fillId="0" borderId="32" xfId="0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0" borderId="28" xfId="0" applyFont="1" applyFill="1" applyBorder="1" applyAlignment="1" applyProtection="1">
      <alignment horizontal="center"/>
    </xf>
    <xf numFmtId="0" fontId="4" fillId="0" borderId="20" xfId="0" applyFont="1" applyFill="1" applyBorder="1" applyAlignment="1" applyProtection="1">
      <alignment horizontal="center"/>
    </xf>
    <xf numFmtId="0" fontId="4" fillId="0" borderId="26" xfId="0" applyFont="1" applyFill="1" applyBorder="1" applyAlignment="1" applyProtection="1">
      <alignment horizontal="center"/>
    </xf>
    <xf numFmtId="166" fontId="5" fillId="0" borderId="10" xfId="0" applyNumberFormat="1" applyFont="1" applyFill="1" applyBorder="1" applyAlignment="1" applyProtection="1">
      <alignment horizontal="left"/>
    </xf>
    <xf numFmtId="14" fontId="5" fillId="20" borderId="10" xfId="0" applyNumberFormat="1" applyFont="1" applyFill="1" applyBorder="1" applyAlignment="1" applyProtection="1">
      <alignment horizontal="left"/>
      <protection locked="0"/>
    </xf>
    <xf numFmtId="0" fontId="4" fillId="0" borderId="20" xfId="0" applyNumberFormat="1" applyFont="1" applyFill="1" applyBorder="1" applyAlignment="1" applyProtection="1">
      <alignment horizontal="center"/>
    </xf>
    <xf numFmtId="49" fontId="1" fillId="20" borderId="29" xfId="0" applyNumberFormat="1" applyFont="1" applyFill="1" applyBorder="1" applyAlignment="1" applyProtection="1">
      <alignment horizontal="center"/>
      <protection locked="0"/>
    </xf>
    <xf numFmtId="49" fontId="1" fillId="20" borderId="31" xfId="0" applyNumberFormat="1" applyFont="1" applyFill="1" applyBorder="1" applyAlignment="1" applyProtection="1">
      <alignment horizontal="center"/>
      <protection locked="0"/>
    </xf>
    <xf numFmtId="0" fontId="1" fillId="0" borderId="33" xfId="0" applyFont="1" applyFill="1" applyBorder="1" applyAlignment="1" applyProtection="1">
      <alignment horizontal="center"/>
    </xf>
    <xf numFmtId="14" fontId="5" fillId="0" borderId="10" xfId="0" applyNumberFormat="1" applyFont="1" applyFill="1" applyBorder="1" applyAlignment="1" applyProtection="1">
      <alignment horizontal="left"/>
    </xf>
    <xf numFmtId="0" fontId="1" fillId="0" borderId="22" xfId="0" applyFont="1" applyFill="1" applyBorder="1" applyAlignment="1" applyProtection="1">
      <alignment horizontal="center"/>
    </xf>
    <xf numFmtId="0" fontId="10" fillId="0" borderId="34" xfId="0" applyFont="1" applyFill="1" applyBorder="1" applyAlignment="1" applyProtection="1">
      <alignment horizontal="center"/>
    </xf>
    <xf numFmtId="0" fontId="11" fillId="0" borderId="35" xfId="0" applyFont="1" applyFill="1" applyBorder="1" applyAlignment="1" applyProtection="1">
      <alignment horizontal="center"/>
    </xf>
    <xf numFmtId="0" fontId="12" fillId="0" borderId="36" xfId="0" applyFont="1" applyFill="1" applyBorder="1" applyAlignment="1" applyProtection="1">
      <alignment horizontal="center"/>
    </xf>
    <xf numFmtId="0" fontId="1" fillId="0" borderId="37" xfId="0" applyFont="1" applyFill="1" applyBorder="1" applyAlignment="1" applyProtection="1">
      <alignment horizontal="center"/>
    </xf>
    <xf numFmtId="0" fontId="1" fillId="0" borderId="38" xfId="0" applyFont="1" applyFill="1" applyBorder="1" applyAlignment="1" applyProtection="1">
      <alignment horizontal="center"/>
    </xf>
    <xf numFmtId="0" fontId="1" fillId="0" borderId="39" xfId="0" applyFont="1" applyFill="1" applyBorder="1" applyAlignment="1" applyProtection="1">
      <alignment horizontal="center"/>
    </xf>
    <xf numFmtId="0" fontId="1" fillId="0" borderId="40" xfId="0" applyFont="1" applyFill="1" applyBorder="1" applyAlignment="1" applyProtection="1">
      <alignment horizontal="center"/>
    </xf>
    <xf numFmtId="0" fontId="1" fillId="0" borderId="41" xfId="0" applyFont="1" applyFill="1" applyBorder="1" applyAlignment="1" applyProtection="1">
      <alignment horizontal="center"/>
    </xf>
    <xf numFmtId="0" fontId="30" fillId="0" borderId="0" xfId="26" applyFont="1" applyAlignment="1">
      <alignment horizontal="center" vertical="center"/>
    </xf>
    <xf numFmtId="0" fontId="31" fillId="0" borderId="0" xfId="26" applyFont="1" applyAlignment="1">
      <alignment horizontal="center" vertical="center"/>
    </xf>
    <xf numFmtId="167" fontId="31" fillId="0" borderId="22" xfId="26" applyNumberFormat="1" applyFont="1" applyBorder="1" applyAlignment="1">
      <alignment horizontal="center" vertical="center"/>
    </xf>
    <xf numFmtId="164" fontId="31" fillId="0" borderId="22" xfId="26" applyNumberFormat="1" applyFont="1" applyBorder="1" applyAlignment="1">
      <alignment horizontal="center" vertical="center"/>
    </xf>
    <xf numFmtId="164" fontId="31" fillId="0" borderId="22" xfId="26" applyNumberFormat="1" applyFont="1" applyBorder="1" applyAlignment="1">
      <alignment horizontal="center"/>
    </xf>
    <xf numFmtId="0" fontId="31" fillId="0" borderId="22" xfId="26" applyFont="1" applyBorder="1" applyAlignment="1">
      <alignment horizontal="center" vertical="center"/>
    </xf>
    <xf numFmtId="2" fontId="4" fillId="20" borderId="16" xfId="0" applyNumberFormat="1" applyFont="1" applyFill="1" applyBorder="1" applyAlignment="1" applyProtection="1">
      <alignment horizontal="center"/>
      <protection locked="0"/>
    </xf>
    <xf numFmtId="0" fontId="31" fillId="0" borderId="21" xfId="26" applyFont="1" applyBorder="1" applyAlignment="1">
      <alignment horizontal="center" vertical="center"/>
    </xf>
    <xf numFmtId="164" fontId="31" fillId="0" borderId="21" xfId="26" applyNumberFormat="1" applyFont="1" applyBorder="1" applyAlignment="1">
      <alignment horizontal="center" vertical="center"/>
    </xf>
    <xf numFmtId="164" fontId="31" fillId="0" borderId="9" xfId="26" applyNumberFormat="1" applyFont="1" applyBorder="1" applyAlignment="1">
      <alignment horizontal="center"/>
    </xf>
    <xf numFmtId="167" fontId="31" fillId="0" borderId="21" xfId="26" applyNumberFormat="1" applyFont="1" applyBorder="1" applyAlignment="1">
      <alignment horizontal="center" vertical="center"/>
    </xf>
    <xf numFmtId="164" fontId="31" fillId="0" borderId="21" xfId="26" applyNumberFormat="1" applyFont="1" applyBorder="1" applyAlignment="1">
      <alignment horizontal="center"/>
    </xf>
    <xf numFmtId="164" fontId="31" fillId="0" borderId="26" xfId="26" applyNumberFormat="1" applyFont="1" applyBorder="1" applyAlignment="1">
      <alignment horizontal="center"/>
    </xf>
    <xf numFmtId="0" fontId="30" fillId="21" borderId="42" xfId="26" applyFont="1" applyFill="1" applyBorder="1" applyAlignment="1">
      <alignment horizontal="center" vertical="center"/>
    </xf>
    <xf numFmtId="0" fontId="30" fillId="21" borderId="42" xfId="26" applyFont="1" applyFill="1" applyBorder="1" applyAlignment="1">
      <alignment horizontal="center"/>
    </xf>
    <xf numFmtId="2" fontId="4" fillId="20" borderId="2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/>
    </xf>
    <xf numFmtId="0" fontId="30" fillId="22" borderId="42" xfId="26" applyFont="1" applyFill="1" applyBorder="1" applyAlignment="1">
      <alignment horizontal="center" vertical="center"/>
    </xf>
    <xf numFmtId="0" fontId="9" fillId="0" borderId="0" xfId="0" applyFont="1" applyFill="1" applyBorder="1" applyAlignment="1" applyProtection="1">
      <alignment horizontal="center"/>
    </xf>
    <xf numFmtId="0" fontId="4" fillId="20" borderId="20" xfId="0" applyFont="1" applyFill="1" applyBorder="1" applyAlignment="1" applyProtection="1">
      <alignment horizontal="center"/>
      <protection locked="0"/>
    </xf>
    <xf numFmtId="0" fontId="4" fillId="20" borderId="0" xfId="0" applyFont="1" applyFill="1" applyBorder="1" applyAlignment="1" applyProtection="1">
      <alignment horizontal="center"/>
      <protection locked="0"/>
    </xf>
    <xf numFmtId="0" fontId="4" fillId="20" borderId="25" xfId="0" applyFont="1" applyFill="1" applyBorder="1" applyAlignment="1" applyProtection="1">
      <alignment horizontal="center"/>
      <protection locked="0"/>
    </xf>
    <xf numFmtId="0" fontId="5" fillId="0" borderId="46" xfId="0" applyFont="1" applyFill="1" applyBorder="1" applyAlignment="1" applyProtection="1">
      <alignment horizontal="center"/>
    </xf>
    <xf numFmtId="0" fontId="5" fillId="0" borderId="25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right"/>
    </xf>
    <xf numFmtId="0" fontId="4" fillId="20" borderId="26" xfId="0" applyFont="1" applyFill="1" applyBorder="1" applyAlignment="1" applyProtection="1">
      <alignment horizontal="center"/>
      <protection locked="0"/>
    </xf>
    <xf numFmtId="0" fontId="4" fillId="20" borderId="43" xfId="0" applyFont="1" applyFill="1" applyBorder="1" applyAlignment="1" applyProtection="1">
      <alignment horizontal="center"/>
      <protection locked="0"/>
    </xf>
    <xf numFmtId="0" fontId="4" fillId="20" borderId="27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7" fillId="0" borderId="25" xfId="0" applyFont="1" applyFill="1" applyBorder="1" applyAlignment="1" applyProtection="1">
      <alignment horizontal="center"/>
    </xf>
    <xf numFmtId="0" fontId="2" fillId="0" borderId="26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27" xfId="0" applyFont="1" applyFill="1" applyBorder="1" applyAlignment="1" applyProtection="1">
      <alignment horizontal="center"/>
    </xf>
    <xf numFmtId="0" fontId="1" fillId="20" borderId="28" xfId="0" applyFont="1" applyFill="1" applyBorder="1" applyAlignment="1" applyProtection="1">
      <alignment horizontal="center"/>
      <protection locked="0"/>
    </xf>
    <xf numFmtId="0" fontId="1" fillId="20" borderId="44" xfId="0" applyFont="1" applyFill="1" applyBorder="1" applyAlignment="1" applyProtection="1">
      <alignment horizontal="center"/>
      <protection locked="0"/>
    </xf>
    <xf numFmtId="0" fontId="4" fillId="20" borderId="1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</xf>
    <xf numFmtId="0" fontId="7" fillId="0" borderId="19" xfId="0" applyFont="1" applyFill="1" applyBorder="1" applyAlignment="1" applyProtection="1">
      <alignment horizontal="center"/>
    </xf>
    <xf numFmtId="0" fontId="7" fillId="0" borderId="23" xfId="0" applyFont="1" applyFill="1" applyBorder="1" applyAlignment="1" applyProtection="1">
      <alignment horizontal="center"/>
    </xf>
    <xf numFmtId="0" fontId="7" fillId="0" borderId="24" xfId="0" applyFont="1" applyFill="1" applyBorder="1" applyAlignment="1" applyProtection="1">
      <alignment horizontal="center"/>
    </xf>
    <xf numFmtId="0" fontId="1" fillId="20" borderId="33" xfId="0" applyFont="1" applyFill="1" applyBorder="1" applyAlignment="1" applyProtection="1">
      <alignment horizontal="center"/>
      <protection locked="0"/>
    </xf>
    <xf numFmtId="0" fontId="1" fillId="20" borderId="47" xfId="0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5" fillId="0" borderId="49" xfId="0" applyFont="1" applyFill="1" applyBorder="1" applyAlignment="1" applyProtection="1">
      <alignment horizontal="center"/>
    </xf>
    <xf numFmtId="0" fontId="1" fillId="0" borderId="46" xfId="0" applyFont="1" applyFill="1" applyBorder="1" applyAlignment="1" applyProtection="1">
      <alignment horizontal="center"/>
    </xf>
    <xf numFmtId="0" fontId="1" fillId="0" borderId="25" xfId="0" applyFont="1" applyFill="1" applyBorder="1" applyAlignment="1" applyProtection="1">
      <alignment horizontal="center"/>
    </xf>
    <xf numFmtId="0" fontId="4" fillId="0" borderId="2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4" fillId="0" borderId="25" xfId="0" applyFont="1" applyFill="1" applyBorder="1" applyAlignment="1" applyProtection="1">
      <alignment horizontal="center"/>
    </xf>
    <xf numFmtId="0" fontId="1" fillId="0" borderId="28" xfId="0" applyFont="1" applyFill="1" applyBorder="1" applyAlignment="1" applyProtection="1">
      <alignment horizontal="center"/>
    </xf>
    <xf numFmtId="0" fontId="1" fillId="0" borderId="47" xfId="0" applyFont="1" applyFill="1" applyBorder="1" applyAlignment="1" applyProtection="1">
      <alignment horizontal="center"/>
    </xf>
    <xf numFmtId="0" fontId="1" fillId="0" borderId="33" xfId="0" applyFont="1" applyFill="1" applyBorder="1" applyAlignment="1" applyProtection="1">
      <alignment horizontal="center"/>
    </xf>
    <xf numFmtId="0" fontId="1" fillId="0" borderId="44" xfId="0" applyFont="1" applyFill="1" applyBorder="1" applyAlignment="1" applyProtection="1">
      <alignment horizontal="center"/>
    </xf>
    <xf numFmtId="0" fontId="4" fillId="0" borderId="10" xfId="0" applyFont="1" applyFill="1" applyBorder="1" applyAlignment="1" applyProtection="1">
      <alignment horizontal="left"/>
    </xf>
    <xf numFmtId="0" fontId="4" fillId="0" borderId="26" xfId="0" applyFont="1" applyFill="1" applyBorder="1" applyAlignment="1" applyProtection="1">
      <alignment horizontal="center"/>
    </xf>
    <xf numFmtId="0" fontId="4" fillId="0" borderId="43" xfId="0" applyFont="1" applyFill="1" applyBorder="1" applyAlignment="1" applyProtection="1">
      <alignment horizontal="center"/>
    </xf>
    <xf numFmtId="0" fontId="4" fillId="0" borderId="27" xfId="0" applyFont="1" applyFill="1" applyBorder="1" applyAlignment="1" applyProtection="1">
      <alignment horizontal="center"/>
    </xf>
  </cellXfs>
  <cellStyles count="36">
    <cellStyle name="20 % - Accent1" xfId="1"/>
    <cellStyle name="20 % - Accent2" xfId="2"/>
    <cellStyle name="20 % - Accent3" xfId="3"/>
    <cellStyle name="20 % - Accent4" xfId="4"/>
    <cellStyle name="20 % - Accent5" xfId="5"/>
    <cellStyle name="20 % - Accent6" xfId="6"/>
    <cellStyle name="40 % - Accent1" xfId="7"/>
    <cellStyle name="40 % - Accent2" xfId="8"/>
    <cellStyle name="40 % - Accent3" xfId="9"/>
    <cellStyle name="40 % - Accent4" xfId="10"/>
    <cellStyle name="40 % - Accent5" xfId="11"/>
    <cellStyle name="40 % - Accent6" xfId="12"/>
    <cellStyle name="60 % - Accent1" xfId="13"/>
    <cellStyle name="60 % - Accent2" xfId="14"/>
    <cellStyle name="60 % - Accent3" xfId="15"/>
    <cellStyle name="60 % - Accent4" xfId="16"/>
    <cellStyle name="60 % - Accent5" xfId="17"/>
    <cellStyle name="60 % - Accent6" xfId="18"/>
    <cellStyle name="Avertissement" xfId="19"/>
    <cellStyle name="Calcul" xfId="20"/>
    <cellStyle name="Cellule liée" xfId="21"/>
    <cellStyle name="Commentaire" xfId="22"/>
    <cellStyle name="Entrée" xfId="23"/>
    <cellStyle name="Insatisfaisant" xfId="24"/>
    <cellStyle name="Neutre" xfId="25"/>
    <cellStyle name="Normal" xfId="0" builtinId="0"/>
    <cellStyle name="Normal_Etalonnage" xfId="26"/>
    <cellStyle name="Satisfaisant" xfId="27"/>
    <cellStyle name="Sortie" xfId="28"/>
    <cellStyle name="Texte explicatif" xfId="29"/>
    <cellStyle name="Titre" xfId="30"/>
    <cellStyle name="Titre 1" xfId="31"/>
    <cellStyle name="Titre 2" xfId="32"/>
    <cellStyle name="Titre 3" xfId="33"/>
    <cellStyle name="Titre 4" xfId="34"/>
    <cellStyle name="Vérification" xfId="3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080557238037577"/>
          <c:y val="3.26778248196362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09125049388686"/>
          <c:y val="0.15584810897192017"/>
          <c:w val="0.84794398937135051"/>
          <c:h val="0.686234415311841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'Saisie des valeurs'!$N$5</c:f>
              <c:strCache>
                <c:ptCount val="1"/>
                <c:pt idx="0">
                  <c:v>Commande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'Saisie des valeurs'!$M$6:$M$20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'Saisie des valeurs'!$N$6:$N$20</c:f>
              <c:numCache>
                <c:formatCode>General</c:formatCode>
                <c:ptCount val="15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00224"/>
        <c:axId val="303300616"/>
      </c:scatterChart>
      <c:valAx>
        <c:axId val="30330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Force</a:t>
                </a:r>
              </a:p>
            </c:rich>
          </c:tx>
          <c:layout>
            <c:manualLayout>
              <c:xMode val="edge"/>
              <c:yMode val="edge"/>
              <c:x val="0.50447302316190756"/>
              <c:y val="0.9099518590326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3300616"/>
        <c:crosses val="autoZero"/>
        <c:crossBetween val="midCat"/>
      </c:valAx>
      <c:valAx>
        <c:axId val="303300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Commande</a:t>
                </a:r>
              </a:p>
            </c:rich>
          </c:tx>
          <c:layout>
            <c:manualLayout>
              <c:xMode val="edge"/>
              <c:yMode val="edge"/>
              <c:x val="2.8622540250447227E-2"/>
              <c:y val="0.41224336907635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3300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56" r="0.75000000000000056" t="1" header="0.49212598450000028" footer="0.4921259845000002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69380059886883"/>
          <c:y val="3.37581605116261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07611816636736"/>
          <c:y val="0.16879035865661848"/>
          <c:w val="0.84973814636057265"/>
          <c:h val="0.652656053472258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'Saisie des valeurs'!$O$5</c:f>
              <c:strCache>
                <c:ptCount val="1"/>
                <c:pt idx="0">
                  <c:v>Capteur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'Saisie des valeurs'!$M$6:$M$20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'Saisie des valeurs'!$O$6:$O$20</c:f>
              <c:numCache>
                <c:formatCode>General</c:formatCode>
                <c:ptCount val="15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99832"/>
        <c:axId val="303298656"/>
      </c:scatterChart>
      <c:valAx>
        <c:axId val="303299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Force</a:t>
                </a:r>
              </a:p>
            </c:rich>
          </c:tx>
          <c:layout>
            <c:manualLayout>
              <c:xMode val="edge"/>
              <c:yMode val="edge"/>
              <c:x val="0.5031575542493808"/>
              <c:y val="0.897402092344090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3298656"/>
        <c:crosses val="autoZero"/>
        <c:crossBetween val="midCat"/>
      </c:valAx>
      <c:valAx>
        <c:axId val="303298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Capteur</a:t>
                </a:r>
              </a:p>
            </c:rich>
          </c:tx>
          <c:layout>
            <c:manualLayout>
              <c:xMode val="edge"/>
              <c:yMode val="edge"/>
              <c:x val="2.8148682118960478E-2"/>
              <c:y val="0.427602380688329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3299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56" r="0.75000000000000056" t="1" header="0.49212598450000028" footer="0.49212598450000028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57</xdr:row>
      <xdr:rowOff>9525</xdr:rowOff>
    </xdr:from>
    <xdr:to>
      <xdr:col>2</xdr:col>
      <xdr:colOff>866775</xdr:colOff>
      <xdr:row>61</xdr:row>
      <xdr:rowOff>180975</xdr:rowOff>
    </xdr:to>
    <xdr:pic>
      <xdr:nvPicPr>
        <xdr:cNvPr id="7407" name="Picture 8" descr="Q:\LOGOS\3R\NOUVEAU LOGO\Couleur\Logo-PETIT (4x2,16cm)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575" y="10725150"/>
          <a:ext cx="17049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6</xdr:row>
      <xdr:rowOff>85725</xdr:rowOff>
    </xdr:from>
    <xdr:to>
      <xdr:col>10</xdr:col>
      <xdr:colOff>0</xdr:colOff>
      <xdr:row>6</xdr:row>
      <xdr:rowOff>85725</xdr:rowOff>
    </xdr:to>
    <xdr:sp macro="" textlink="">
      <xdr:nvSpPr>
        <xdr:cNvPr id="7408" name="Line 11"/>
        <xdr:cNvSpPr>
          <a:spLocks noChangeShapeType="1"/>
        </xdr:cNvSpPr>
      </xdr:nvSpPr>
      <xdr:spPr bwMode="auto">
        <a:xfrm>
          <a:off x="762000" y="115252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333375</xdr:colOff>
      <xdr:row>6</xdr:row>
      <xdr:rowOff>28575</xdr:rowOff>
    </xdr:from>
    <xdr:to>
      <xdr:col>6</xdr:col>
      <xdr:colOff>447675</xdr:colOff>
      <xdr:row>7</xdr:row>
      <xdr:rowOff>114300</xdr:rowOff>
    </xdr:to>
    <xdr:sp macro="" textlink="">
      <xdr:nvSpPr>
        <xdr:cNvPr id="7180" name="Text Box 12"/>
        <xdr:cNvSpPr txBox="1">
          <a:spLocks noChangeArrowheads="1"/>
        </xdr:cNvSpPr>
      </xdr:nvSpPr>
      <xdr:spPr bwMode="auto">
        <a:xfrm>
          <a:off x="4000500" y="1095375"/>
          <a:ext cx="22002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Moyens de contrôle</a:t>
          </a:r>
        </a:p>
      </xdr:txBody>
    </xdr:sp>
    <xdr:clientData/>
  </xdr:twoCellAnchor>
  <xdr:twoCellAnchor>
    <xdr:from>
      <xdr:col>1</xdr:col>
      <xdr:colOff>0</xdr:colOff>
      <xdr:row>11</xdr:row>
      <xdr:rowOff>57150</xdr:rowOff>
    </xdr:from>
    <xdr:to>
      <xdr:col>10</xdr:col>
      <xdr:colOff>0</xdr:colOff>
      <xdr:row>11</xdr:row>
      <xdr:rowOff>57150</xdr:rowOff>
    </xdr:to>
    <xdr:sp macro="" textlink="">
      <xdr:nvSpPr>
        <xdr:cNvPr id="7410" name="Line 16"/>
        <xdr:cNvSpPr>
          <a:spLocks noChangeShapeType="1"/>
        </xdr:cNvSpPr>
      </xdr:nvSpPr>
      <xdr:spPr bwMode="auto">
        <a:xfrm>
          <a:off x="762000" y="20193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11</xdr:row>
      <xdr:rowOff>0</xdr:rowOff>
    </xdr:from>
    <xdr:to>
      <xdr:col>6</xdr:col>
      <xdr:colOff>581025</xdr:colOff>
      <xdr:row>12</xdr:row>
      <xdr:rowOff>114300</xdr:rowOff>
    </xdr:to>
    <xdr:sp macro="" textlink="">
      <xdr:nvSpPr>
        <xdr:cNvPr id="7185" name="Text Box 17"/>
        <xdr:cNvSpPr txBox="1">
          <a:spLocks noChangeArrowheads="1"/>
        </xdr:cNvSpPr>
      </xdr:nvSpPr>
      <xdr:spPr bwMode="auto">
        <a:xfrm>
          <a:off x="3962400" y="1962150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Machine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7412" name="Line 18"/>
        <xdr:cNvSpPr>
          <a:spLocks noChangeShapeType="1"/>
        </xdr:cNvSpPr>
      </xdr:nvSpPr>
      <xdr:spPr bwMode="auto">
        <a:xfrm>
          <a:off x="762000" y="372427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114300</xdr:colOff>
      <xdr:row>20</xdr:row>
      <xdr:rowOff>104775</xdr:rowOff>
    </xdr:from>
    <xdr:to>
      <xdr:col>6</xdr:col>
      <xdr:colOff>828675</xdr:colOff>
      <xdr:row>22</xdr:row>
      <xdr:rowOff>57150</xdr:rowOff>
    </xdr:to>
    <xdr:sp macro="" textlink="">
      <xdr:nvSpPr>
        <xdr:cNvPr id="7187" name="Text Box 19"/>
        <xdr:cNvSpPr txBox="1">
          <a:spLocks noChangeArrowheads="1"/>
        </xdr:cNvSpPr>
      </xdr:nvSpPr>
      <xdr:spPr bwMode="auto">
        <a:xfrm>
          <a:off x="3781425" y="3667125"/>
          <a:ext cx="28003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Conditions de contrôle</a:t>
          </a:r>
        </a:p>
      </xdr:txBody>
    </xdr:sp>
    <xdr:clientData/>
  </xdr:twoCellAnchor>
  <xdr:twoCellAnchor>
    <xdr:from>
      <xdr:col>1</xdr:col>
      <xdr:colOff>0</xdr:colOff>
      <xdr:row>27</xdr:row>
      <xdr:rowOff>38100</xdr:rowOff>
    </xdr:from>
    <xdr:to>
      <xdr:col>10</xdr:col>
      <xdr:colOff>0</xdr:colOff>
      <xdr:row>27</xdr:row>
      <xdr:rowOff>38100</xdr:rowOff>
    </xdr:to>
    <xdr:sp macro="" textlink="">
      <xdr:nvSpPr>
        <xdr:cNvPr id="7414" name="Line 35"/>
        <xdr:cNvSpPr>
          <a:spLocks noChangeShapeType="1"/>
        </xdr:cNvSpPr>
      </xdr:nvSpPr>
      <xdr:spPr bwMode="auto">
        <a:xfrm>
          <a:off x="762000" y="489585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26</xdr:row>
      <xdr:rowOff>161925</xdr:rowOff>
    </xdr:from>
    <xdr:to>
      <xdr:col>6</xdr:col>
      <xdr:colOff>581025</xdr:colOff>
      <xdr:row>28</xdr:row>
      <xdr:rowOff>66675</xdr:rowOff>
    </xdr:to>
    <xdr:sp macro="" textlink="">
      <xdr:nvSpPr>
        <xdr:cNvPr id="7204" name="Text Box 36"/>
        <xdr:cNvSpPr txBox="1">
          <a:spLocks noChangeArrowheads="1"/>
        </xdr:cNvSpPr>
      </xdr:nvSpPr>
      <xdr:spPr bwMode="auto">
        <a:xfrm>
          <a:off x="3962400" y="4829175"/>
          <a:ext cx="23717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Résultats</a:t>
          </a:r>
        </a:p>
      </xdr:txBody>
    </xdr:sp>
    <xdr:clientData/>
  </xdr:twoCellAnchor>
  <xdr:twoCellAnchor>
    <xdr:from>
      <xdr:col>10</xdr:col>
      <xdr:colOff>200025</xdr:colOff>
      <xdr:row>21</xdr:row>
      <xdr:rowOff>0</xdr:rowOff>
    </xdr:from>
    <xdr:to>
      <xdr:col>16</xdr:col>
      <xdr:colOff>609600</xdr:colOff>
      <xdr:row>40</xdr:row>
      <xdr:rowOff>114300</xdr:rowOff>
    </xdr:to>
    <xdr:graphicFrame macro="">
      <xdr:nvGraphicFramePr>
        <xdr:cNvPr id="7416" name="Chart 1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180975</xdr:colOff>
      <xdr:row>40</xdr:row>
      <xdr:rowOff>114300</xdr:rowOff>
    </xdr:from>
    <xdr:to>
      <xdr:col>16</xdr:col>
      <xdr:colOff>676275</xdr:colOff>
      <xdr:row>57</xdr:row>
      <xdr:rowOff>180975</xdr:rowOff>
    </xdr:to>
    <xdr:graphicFrame macro="">
      <xdr:nvGraphicFramePr>
        <xdr:cNvPr id="7417" name="Chart 1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57</xdr:row>
      <xdr:rowOff>9525</xdr:rowOff>
    </xdr:from>
    <xdr:to>
      <xdr:col>2</xdr:col>
      <xdr:colOff>866775</xdr:colOff>
      <xdr:row>61</xdr:row>
      <xdr:rowOff>180975</xdr:rowOff>
    </xdr:to>
    <xdr:pic>
      <xdr:nvPicPr>
        <xdr:cNvPr id="10456" name="Picture 1" descr="Q:\LOGOS\3R\NOUVEAU LOGO\Couleur\Logo-PETIT (4x2,16cm)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575" y="10725150"/>
          <a:ext cx="17049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6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0457" name="Line 3"/>
        <xdr:cNvSpPr>
          <a:spLocks noChangeShapeType="1"/>
        </xdr:cNvSpPr>
      </xdr:nvSpPr>
      <xdr:spPr bwMode="auto">
        <a:xfrm>
          <a:off x="762000" y="107632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333375</xdr:colOff>
      <xdr:row>5</xdr:row>
      <xdr:rowOff>142875</xdr:rowOff>
    </xdr:from>
    <xdr:to>
      <xdr:col>6</xdr:col>
      <xdr:colOff>447675</xdr:colOff>
      <xdr:row>7</xdr:row>
      <xdr:rowOff>38100</xdr:rowOff>
    </xdr:to>
    <xdr:sp macro="" textlink="">
      <xdr:nvSpPr>
        <xdr:cNvPr id="10244" name="Text Box 4"/>
        <xdr:cNvSpPr txBox="1">
          <a:spLocks noChangeArrowheads="1"/>
        </xdr:cNvSpPr>
      </xdr:nvSpPr>
      <xdr:spPr bwMode="auto">
        <a:xfrm>
          <a:off x="4000500" y="1019175"/>
          <a:ext cx="22002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Moyens de contrôle</a:t>
          </a:r>
        </a:p>
      </xdr:txBody>
    </xdr:sp>
    <xdr:clientData/>
  </xdr:twoCellAnchor>
  <xdr:twoCellAnchor>
    <xdr:from>
      <xdr:col>1</xdr:col>
      <xdr:colOff>0</xdr:colOff>
      <xdr:row>11</xdr:row>
      <xdr:rowOff>57150</xdr:rowOff>
    </xdr:from>
    <xdr:to>
      <xdr:col>10</xdr:col>
      <xdr:colOff>0</xdr:colOff>
      <xdr:row>11</xdr:row>
      <xdr:rowOff>57150</xdr:rowOff>
    </xdr:to>
    <xdr:sp macro="" textlink="">
      <xdr:nvSpPr>
        <xdr:cNvPr id="10459" name="Line 5"/>
        <xdr:cNvSpPr>
          <a:spLocks noChangeShapeType="1"/>
        </xdr:cNvSpPr>
      </xdr:nvSpPr>
      <xdr:spPr bwMode="auto">
        <a:xfrm>
          <a:off x="762000" y="20193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11</xdr:row>
      <xdr:rowOff>0</xdr:rowOff>
    </xdr:from>
    <xdr:to>
      <xdr:col>6</xdr:col>
      <xdr:colOff>581025</xdr:colOff>
      <xdr:row>12</xdr:row>
      <xdr:rowOff>114300</xdr:rowOff>
    </xdr:to>
    <xdr:sp macro="" textlink="">
      <xdr:nvSpPr>
        <xdr:cNvPr id="10246" name="Text Box 6"/>
        <xdr:cNvSpPr txBox="1">
          <a:spLocks noChangeArrowheads="1"/>
        </xdr:cNvSpPr>
      </xdr:nvSpPr>
      <xdr:spPr bwMode="auto">
        <a:xfrm>
          <a:off x="3962400" y="1962150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Machine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0461" name="Line 7"/>
        <xdr:cNvSpPr>
          <a:spLocks noChangeShapeType="1"/>
        </xdr:cNvSpPr>
      </xdr:nvSpPr>
      <xdr:spPr bwMode="auto">
        <a:xfrm>
          <a:off x="762000" y="372427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20</xdr:row>
      <xdr:rowOff>104775</xdr:rowOff>
    </xdr:from>
    <xdr:to>
      <xdr:col>6</xdr:col>
      <xdr:colOff>581025</xdr:colOff>
      <xdr:row>22</xdr:row>
      <xdr:rowOff>57150</xdr:rowOff>
    </xdr:to>
    <xdr:sp macro="" textlink="">
      <xdr:nvSpPr>
        <xdr:cNvPr id="10248" name="Text Box 8"/>
        <xdr:cNvSpPr txBox="1">
          <a:spLocks noChangeArrowheads="1"/>
        </xdr:cNvSpPr>
      </xdr:nvSpPr>
      <xdr:spPr bwMode="auto">
        <a:xfrm>
          <a:off x="3962400" y="3667125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Conditions de contrôle</a:t>
          </a:r>
        </a:p>
      </xdr:txBody>
    </xdr:sp>
    <xdr:clientData/>
  </xdr:twoCellAnchor>
  <xdr:twoCellAnchor>
    <xdr:from>
      <xdr:col>1</xdr:col>
      <xdr:colOff>0</xdr:colOff>
      <xdr:row>27</xdr:row>
      <xdr:rowOff>57150</xdr:rowOff>
    </xdr:from>
    <xdr:to>
      <xdr:col>10</xdr:col>
      <xdr:colOff>0</xdr:colOff>
      <xdr:row>27</xdr:row>
      <xdr:rowOff>57150</xdr:rowOff>
    </xdr:to>
    <xdr:sp macro="" textlink="">
      <xdr:nvSpPr>
        <xdr:cNvPr id="10463" name="Line 43"/>
        <xdr:cNvSpPr>
          <a:spLocks noChangeShapeType="1"/>
        </xdr:cNvSpPr>
      </xdr:nvSpPr>
      <xdr:spPr bwMode="auto">
        <a:xfrm>
          <a:off x="762000" y="4914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27</xdr:row>
      <xdr:rowOff>0</xdr:rowOff>
    </xdr:from>
    <xdr:to>
      <xdr:col>6</xdr:col>
      <xdr:colOff>581025</xdr:colOff>
      <xdr:row>28</xdr:row>
      <xdr:rowOff>85725</xdr:rowOff>
    </xdr:to>
    <xdr:sp macro="" textlink="">
      <xdr:nvSpPr>
        <xdr:cNvPr id="10284" name="Text Box 44"/>
        <xdr:cNvSpPr txBox="1">
          <a:spLocks noChangeArrowheads="1"/>
        </xdr:cNvSpPr>
      </xdr:nvSpPr>
      <xdr:spPr bwMode="auto">
        <a:xfrm>
          <a:off x="3962400" y="4857750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Résultats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57</xdr:row>
      <xdr:rowOff>9525</xdr:rowOff>
    </xdr:from>
    <xdr:to>
      <xdr:col>2</xdr:col>
      <xdr:colOff>866775</xdr:colOff>
      <xdr:row>61</xdr:row>
      <xdr:rowOff>180975</xdr:rowOff>
    </xdr:to>
    <xdr:pic>
      <xdr:nvPicPr>
        <xdr:cNvPr id="14518" name="Picture 1" descr="Q:\LOGOS\3R\NOUVEAU LOGO\Couleur\Logo-PETIT (4x2,16cm)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575" y="10725150"/>
          <a:ext cx="17049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6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4519" name="Line 3"/>
        <xdr:cNvSpPr>
          <a:spLocks noChangeShapeType="1"/>
        </xdr:cNvSpPr>
      </xdr:nvSpPr>
      <xdr:spPr bwMode="auto">
        <a:xfrm>
          <a:off x="762000" y="107632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333375</xdr:colOff>
      <xdr:row>5</xdr:row>
      <xdr:rowOff>142875</xdr:rowOff>
    </xdr:from>
    <xdr:to>
      <xdr:col>6</xdr:col>
      <xdr:colOff>447675</xdr:colOff>
      <xdr:row>7</xdr:row>
      <xdr:rowOff>38100</xdr:rowOff>
    </xdr:to>
    <xdr:sp macro="" textlink="">
      <xdr:nvSpPr>
        <xdr:cNvPr id="14340" name="Text Box 4"/>
        <xdr:cNvSpPr txBox="1">
          <a:spLocks noChangeArrowheads="1"/>
        </xdr:cNvSpPr>
      </xdr:nvSpPr>
      <xdr:spPr bwMode="auto">
        <a:xfrm>
          <a:off x="4000500" y="1019175"/>
          <a:ext cx="22002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Means of control</a:t>
          </a:r>
        </a:p>
      </xdr:txBody>
    </xdr:sp>
    <xdr:clientData/>
  </xdr:twoCellAnchor>
  <xdr:twoCellAnchor>
    <xdr:from>
      <xdr:col>1</xdr:col>
      <xdr:colOff>0</xdr:colOff>
      <xdr:row>11</xdr:row>
      <xdr:rowOff>57150</xdr:rowOff>
    </xdr:from>
    <xdr:to>
      <xdr:col>10</xdr:col>
      <xdr:colOff>0</xdr:colOff>
      <xdr:row>11</xdr:row>
      <xdr:rowOff>57150</xdr:rowOff>
    </xdr:to>
    <xdr:sp macro="" textlink="">
      <xdr:nvSpPr>
        <xdr:cNvPr id="14521" name="Line 5"/>
        <xdr:cNvSpPr>
          <a:spLocks noChangeShapeType="1"/>
        </xdr:cNvSpPr>
      </xdr:nvSpPr>
      <xdr:spPr bwMode="auto">
        <a:xfrm>
          <a:off x="762000" y="20193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11</xdr:row>
      <xdr:rowOff>0</xdr:rowOff>
    </xdr:from>
    <xdr:to>
      <xdr:col>6</xdr:col>
      <xdr:colOff>581025</xdr:colOff>
      <xdr:row>12</xdr:row>
      <xdr:rowOff>114300</xdr:rowOff>
    </xdr:to>
    <xdr:sp macro="" textlink="">
      <xdr:nvSpPr>
        <xdr:cNvPr id="14342" name="Text Box 6"/>
        <xdr:cNvSpPr txBox="1">
          <a:spLocks noChangeArrowheads="1"/>
        </xdr:cNvSpPr>
      </xdr:nvSpPr>
      <xdr:spPr bwMode="auto">
        <a:xfrm>
          <a:off x="3962400" y="1962150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Testing Machine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4523" name="Line 7"/>
        <xdr:cNvSpPr>
          <a:spLocks noChangeShapeType="1"/>
        </xdr:cNvSpPr>
      </xdr:nvSpPr>
      <xdr:spPr bwMode="auto">
        <a:xfrm>
          <a:off x="762000" y="3724275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20</xdr:row>
      <xdr:rowOff>104775</xdr:rowOff>
    </xdr:from>
    <xdr:to>
      <xdr:col>6</xdr:col>
      <xdr:colOff>581025</xdr:colOff>
      <xdr:row>22</xdr:row>
      <xdr:rowOff>57150</xdr:rowOff>
    </xdr:to>
    <xdr:sp macro="" textlink="">
      <xdr:nvSpPr>
        <xdr:cNvPr id="14344" name="Text Box 8"/>
        <xdr:cNvSpPr txBox="1">
          <a:spLocks noChangeArrowheads="1"/>
        </xdr:cNvSpPr>
      </xdr:nvSpPr>
      <xdr:spPr bwMode="auto">
        <a:xfrm>
          <a:off x="3962400" y="3667125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Conditions of control</a:t>
          </a:r>
        </a:p>
      </xdr:txBody>
    </xdr:sp>
    <xdr:clientData/>
  </xdr:twoCellAnchor>
  <xdr:twoCellAnchor>
    <xdr:from>
      <xdr:col>1</xdr:col>
      <xdr:colOff>0</xdr:colOff>
      <xdr:row>27</xdr:row>
      <xdr:rowOff>57150</xdr:rowOff>
    </xdr:from>
    <xdr:to>
      <xdr:col>10</xdr:col>
      <xdr:colOff>0</xdr:colOff>
      <xdr:row>27</xdr:row>
      <xdr:rowOff>57150</xdr:rowOff>
    </xdr:to>
    <xdr:sp macro="" textlink="">
      <xdr:nvSpPr>
        <xdr:cNvPr id="14525" name="Line 9"/>
        <xdr:cNvSpPr>
          <a:spLocks noChangeShapeType="1"/>
        </xdr:cNvSpPr>
      </xdr:nvSpPr>
      <xdr:spPr bwMode="auto">
        <a:xfrm>
          <a:off x="762000" y="4914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27</xdr:row>
      <xdr:rowOff>0</xdr:rowOff>
    </xdr:from>
    <xdr:to>
      <xdr:col>6</xdr:col>
      <xdr:colOff>581025</xdr:colOff>
      <xdr:row>28</xdr:row>
      <xdr:rowOff>85725</xdr:rowOff>
    </xdr:to>
    <xdr:sp macro="" textlink="">
      <xdr:nvSpPr>
        <xdr:cNvPr id="14346" name="Text Box 10"/>
        <xdr:cNvSpPr txBox="1">
          <a:spLocks noChangeArrowheads="1"/>
        </xdr:cNvSpPr>
      </xdr:nvSpPr>
      <xdr:spPr bwMode="auto">
        <a:xfrm>
          <a:off x="3962400" y="4857750"/>
          <a:ext cx="23717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Geneva"/>
            </a:rPr>
            <a:t>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57</xdr:row>
      <xdr:rowOff>9525</xdr:rowOff>
    </xdr:from>
    <xdr:to>
      <xdr:col>2</xdr:col>
      <xdr:colOff>866775</xdr:colOff>
      <xdr:row>61</xdr:row>
      <xdr:rowOff>180975</xdr:rowOff>
    </xdr:to>
    <xdr:pic>
      <xdr:nvPicPr>
        <xdr:cNvPr id="16538" name="Picture 1" descr="Q:\LOGOS\3R\NOUVEAU LOGO\Couleur\Logo-PETIT (4x2,16cm)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90575" y="10725150"/>
          <a:ext cx="17049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571500</xdr:colOff>
      <xdr:row>4</xdr:row>
      <xdr:rowOff>133350</xdr:rowOff>
    </xdr:from>
    <xdr:to>
      <xdr:col>7</xdr:col>
      <xdr:colOff>552450</xdr:colOff>
      <xdr:row>4</xdr:row>
      <xdr:rowOff>133350</xdr:rowOff>
    </xdr:to>
    <xdr:sp macro="" textlink="">
      <xdr:nvSpPr>
        <xdr:cNvPr id="16539" name="Line 3"/>
        <xdr:cNvSpPr>
          <a:spLocks noChangeShapeType="1"/>
        </xdr:cNvSpPr>
      </xdr:nvSpPr>
      <xdr:spPr bwMode="auto">
        <a:xfrm>
          <a:off x="571500" y="819150"/>
          <a:ext cx="6581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34925</xdr:colOff>
      <xdr:row>4</xdr:row>
      <xdr:rowOff>9525</xdr:rowOff>
    </xdr:from>
    <xdr:to>
      <xdr:col>5</xdr:col>
      <xdr:colOff>149225</xdr:colOff>
      <xdr:row>5</xdr:row>
      <xdr:rowOff>95250</xdr:rowOff>
    </xdr:to>
    <xdr:sp macro="" textlink="">
      <xdr:nvSpPr>
        <xdr:cNvPr id="14340" name="Text Box 4"/>
        <xdr:cNvSpPr txBox="1">
          <a:spLocks noChangeArrowheads="1"/>
        </xdr:cNvSpPr>
      </xdr:nvSpPr>
      <xdr:spPr bwMode="auto">
        <a:xfrm>
          <a:off x="2676525" y="695325"/>
          <a:ext cx="219710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000000"/>
              </a:solidFill>
              <a:latin typeface="Geneva"/>
            </a:rPr>
            <a:t>Medio de verificacion</a:t>
          </a:r>
        </a:p>
      </xdr:txBody>
    </xdr:sp>
    <xdr:clientData/>
  </xdr:twoCellAnchor>
  <xdr:twoCellAnchor>
    <xdr:from>
      <xdr:col>0</xdr:col>
      <xdr:colOff>571500</xdr:colOff>
      <xdr:row>8</xdr:row>
      <xdr:rowOff>57150</xdr:rowOff>
    </xdr:from>
    <xdr:to>
      <xdr:col>7</xdr:col>
      <xdr:colOff>552450</xdr:colOff>
      <xdr:row>8</xdr:row>
      <xdr:rowOff>57150</xdr:rowOff>
    </xdr:to>
    <xdr:sp macro="" textlink="">
      <xdr:nvSpPr>
        <xdr:cNvPr id="16541" name="Line 3"/>
        <xdr:cNvSpPr>
          <a:spLocks noChangeShapeType="1"/>
        </xdr:cNvSpPr>
      </xdr:nvSpPr>
      <xdr:spPr bwMode="auto">
        <a:xfrm>
          <a:off x="571500" y="1524000"/>
          <a:ext cx="6581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965200</xdr:colOff>
      <xdr:row>7</xdr:row>
      <xdr:rowOff>123825</xdr:rowOff>
    </xdr:from>
    <xdr:to>
      <xdr:col>5</xdr:col>
      <xdr:colOff>234950</xdr:colOff>
      <xdr:row>9</xdr:row>
      <xdr:rowOff>22225</xdr:rowOff>
    </xdr:to>
    <xdr:sp macro="" textlink="">
      <xdr:nvSpPr>
        <xdr:cNvPr id="14342" name="Text Box 6"/>
        <xdr:cNvSpPr txBox="1">
          <a:spLocks noChangeArrowheads="1"/>
        </xdr:cNvSpPr>
      </xdr:nvSpPr>
      <xdr:spPr bwMode="auto">
        <a:xfrm>
          <a:off x="2590800" y="1381125"/>
          <a:ext cx="2368550" cy="279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000000"/>
              </a:solidFill>
              <a:latin typeface="Geneva"/>
            </a:rPr>
            <a:t>Maquina de ensayo</a:t>
          </a:r>
        </a:p>
      </xdr:txBody>
    </xdr:sp>
    <xdr:clientData/>
  </xdr:twoCellAnchor>
  <xdr:twoCellAnchor>
    <xdr:from>
      <xdr:col>0</xdr:col>
      <xdr:colOff>571500</xdr:colOff>
      <xdr:row>16</xdr:row>
      <xdr:rowOff>28575</xdr:rowOff>
    </xdr:from>
    <xdr:to>
      <xdr:col>7</xdr:col>
      <xdr:colOff>552450</xdr:colOff>
      <xdr:row>16</xdr:row>
      <xdr:rowOff>28575</xdr:rowOff>
    </xdr:to>
    <xdr:sp macro="" textlink="">
      <xdr:nvSpPr>
        <xdr:cNvPr id="16543" name="Line 3"/>
        <xdr:cNvSpPr>
          <a:spLocks noChangeShapeType="1"/>
        </xdr:cNvSpPr>
      </xdr:nvSpPr>
      <xdr:spPr bwMode="auto">
        <a:xfrm>
          <a:off x="571500" y="2886075"/>
          <a:ext cx="6581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755650</xdr:colOff>
      <xdr:row>15</xdr:row>
      <xdr:rowOff>66675</xdr:rowOff>
    </xdr:from>
    <xdr:to>
      <xdr:col>5</xdr:col>
      <xdr:colOff>514350</xdr:colOff>
      <xdr:row>16</xdr:row>
      <xdr:rowOff>158750</xdr:rowOff>
    </xdr:to>
    <xdr:sp macro="" textlink="">
      <xdr:nvSpPr>
        <xdr:cNvPr id="16391" name="Text Box 8"/>
        <xdr:cNvSpPr txBox="1">
          <a:spLocks noChangeArrowheads="1"/>
        </xdr:cNvSpPr>
      </xdr:nvSpPr>
      <xdr:spPr bwMode="auto">
        <a:xfrm>
          <a:off x="2381250" y="2771775"/>
          <a:ext cx="2857500" cy="282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000000"/>
              </a:solidFill>
              <a:latin typeface="Geneva"/>
            </a:rPr>
            <a:t>Conditiones de verificacion</a:t>
          </a:r>
        </a:p>
      </xdr:txBody>
    </xdr:sp>
    <xdr:clientData/>
  </xdr:twoCellAnchor>
  <xdr:twoCellAnchor>
    <xdr:from>
      <xdr:col>0</xdr:col>
      <xdr:colOff>571500</xdr:colOff>
      <xdr:row>20</xdr:row>
      <xdr:rowOff>142875</xdr:rowOff>
    </xdr:from>
    <xdr:to>
      <xdr:col>7</xdr:col>
      <xdr:colOff>552450</xdr:colOff>
      <xdr:row>20</xdr:row>
      <xdr:rowOff>142875</xdr:rowOff>
    </xdr:to>
    <xdr:sp macro="" textlink="">
      <xdr:nvSpPr>
        <xdr:cNvPr id="16545" name="Line 3"/>
        <xdr:cNvSpPr>
          <a:spLocks noChangeShapeType="1"/>
        </xdr:cNvSpPr>
      </xdr:nvSpPr>
      <xdr:spPr bwMode="auto">
        <a:xfrm>
          <a:off x="571500" y="3705225"/>
          <a:ext cx="6581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1012825</xdr:colOff>
      <xdr:row>20</xdr:row>
      <xdr:rowOff>3175</xdr:rowOff>
    </xdr:from>
    <xdr:to>
      <xdr:col>5</xdr:col>
      <xdr:colOff>282575</xdr:colOff>
      <xdr:row>21</xdr:row>
      <xdr:rowOff>114300</xdr:rowOff>
    </xdr:to>
    <xdr:sp macro="" textlink="">
      <xdr:nvSpPr>
        <xdr:cNvPr id="14346" name="Text Box 10"/>
        <xdr:cNvSpPr txBox="1">
          <a:spLocks noChangeArrowheads="1"/>
        </xdr:cNvSpPr>
      </xdr:nvSpPr>
      <xdr:spPr bwMode="auto">
        <a:xfrm>
          <a:off x="2638425" y="3622675"/>
          <a:ext cx="23685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000000"/>
              </a:solidFill>
              <a:latin typeface="Geneva"/>
            </a:rPr>
            <a:t>Resultados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B1:AA73"/>
  <sheetViews>
    <sheetView showGridLines="0" zoomScale="85" workbookViewId="0">
      <selection activeCell="B34" sqref="B34"/>
    </sheetView>
  </sheetViews>
  <sheetFormatPr baseColWidth="10" defaultRowHeight="12.75"/>
  <cols>
    <col min="1" max="1" width="11.42578125" style="1"/>
    <col min="2" max="2" width="13" style="1" customWidth="1"/>
    <col min="3" max="4" width="15.28515625" style="1" customWidth="1"/>
    <col min="5" max="5" width="16" style="1" customWidth="1"/>
    <col min="6" max="6" width="15.28515625" style="1" customWidth="1"/>
    <col min="7" max="7" width="12.7109375" style="1" customWidth="1"/>
    <col min="8" max="8" width="14.7109375" style="1" customWidth="1"/>
    <col min="9" max="9" width="15.7109375" style="1" customWidth="1"/>
    <col min="10" max="10" width="13.5703125" style="1" customWidth="1"/>
    <col min="11" max="12" width="11.42578125" style="1"/>
    <col min="13" max="14" width="12.5703125" style="1" bestFit="1" customWidth="1"/>
    <col min="15" max="15" width="14.28515625" style="1" customWidth="1"/>
    <col min="16" max="16384" width="11.42578125" style="1"/>
  </cols>
  <sheetData>
    <row r="1" spans="2:27" ht="6" customHeight="1"/>
    <row r="2" spans="2:27" ht="30">
      <c r="B2" s="2"/>
      <c r="F2" s="3" t="s">
        <v>46</v>
      </c>
      <c r="I2" s="4"/>
    </row>
    <row r="3" spans="2:27" ht="9" customHeight="1">
      <c r="B3" s="5"/>
      <c r="I3" s="4"/>
    </row>
    <row r="4" spans="2:27" ht="9" customHeight="1" thickBot="1">
      <c r="B4" s="5"/>
      <c r="I4" s="4"/>
    </row>
    <row r="5" spans="2:27" ht="15">
      <c r="B5" s="6" t="s">
        <v>0</v>
      </c>
      <c r="C5" s="130" t="s">
        <v>161</v>
      </c>
      <c r="D5" s="130"/>
      <c r="E5" s="130"/>
      <c r="F5" s="7"/>
      <c r="G5" s="72"/>
      <c r="H5" s="7" t="s">
        <v>50</v>
      </c>
      <c r="I5" s="79">
        <f ca="1">TODAY()</f>
        <v>41907</v>
      </c>
      <c r="J5" s="73"/>
      <c r="M5" s="86" t="s">
        <v>131</v>
      </c>
      <c r="N5" s="87" t="s">
        <v>132</v>
      </c>
      <c r="O5" s="88" t="s">
        <v>14</v>
      </c>
    </row>
    <row r="6" spans="2:27" ht="15">
      <c r="C6" s="48"/>
      <c r="D6" s="41"/>
      <c r="E6" s="41"/>
      <c r="F6" s="49"/>
      <c r="G6" s="50"/>
      <c r="H6" s="52"/>
      <c r="I6" s="52"/>
      <c r="J6" s="8"/>
      <c r="M6" s="89">
        <v>0</v>
      </c>
      <c r="N6" s="85">
        <v>0</v>
      </c>
      <c r="O6" s="90">
        <v>0</v>
      </c>
    </row>
    <row r="7" spans="2:27" ht="15" customHeight="1">
      <c r="B7" s="131"/>
      <c r="C7" s="131"/>
      <c r="D7" s="131"/>
      <c r="E7" s="131"/>
      <c r="F7" s="131"/>
      <c r="G7" s="131"/>
      <c r="H7" s="131"/>
      <c r="I7" s="131"/>
      <c r="J7" s="131"/>
      <c r="M7" s="89"/>
      <c r="N7" s="85"/>
      <c r="O7" s="90"/>
    </row>
    <row r="8" spans="2:27" ht="16.5" thickBot="1">
      <c r="B8" s="9" t="s">
        <v>1</v>
      </c>
      <c r="C8" s="8"/>
      <c r="D8" s="8"/>
      <c r="F8" s="8"/>
      <c r="H8" s="40" t="s">
        <v>26</v>
      </c>
      <c r="I8" s="8"/>
      <c r="J8" s="8"/>
      <c r="M8" s="89"/>
      <c r="N8" s="85"/>
      <c r="O8" s="90"/>
    </row>
    <row r="9" spans="2:27">
      <c r="B9" s="137" t="s">
        <v>40</v>
      </c>
      <c r="C9" s="140"/>
      <c r="D9"/>
      <c r="H9" s="137" t="s">
        <v>40</v>
      </c>
      <c r="I9" s="138"/>
      <c r="J9" s="140"/>
      <c r="M9" s="89"/>
      <c r="N9" s="85"/>
      <c r="O9" s="90"/>
    </row>
    <row r="10" spans="2:27" ht="13.5" thickBot="1">
      <c r="B10" s="128" t="s">
        <v>156</v>
      </c>
      <c r="C10" s="135"/>
      <c r="D10"/>
      <c r="H10" s="128" t="s">
        <v>148</v>
      </c>
      <c r="I10" s="136"/>
      <c r="J10" s="135"/>
      <c r="M10" s="89"/>
      <c r="N10" s="85"/>
      <c r="O10" s="90"/>
    </row>
    <row r="11" spans="2:27">
      <c r="C11" s="51"/>
      <c r="D11" s="51"/>
      <c r="E11" s="51"/>
      <c r="J11" s="2"/>
      <c r="M11" s="89"/>
      <c r="N11" s="85"/>
      <c r="O11" s="90"/>
    </row>
    <row r="12" spans="2:27">
      <c r="C12" s="51"/>
      <c r="D12" s="51"/>
      <c r="E12" s="51"/>
      <c r="J12" s="2"/>
      <c r="M12" s="89"/>
      <c r="N12" s="85"/>
      <c r="O12" s="90"/>
    </row>
    <row r="13" spans="2:27" ht="16.5" thickBot="1">
      <c r="B13" s="40" t="s">
        <v>16</v>
      </c>
      <c r="I13" s="2"/>
      <c r="J13" s="2"/>
      <c r="M13" s="89"/>
      <c r="N13" s="85"/>
      <c r="O13" s="90"/>
    </row>
    <row r="14" spans="2:27">
      <c r="B14" s="10" t="s">
        <v>38</v>
      </c>
      <c r="C14" s="11" t="s">
        <v>11</v>
      </c>
      <c r="M14" s="89"/>
      <c r="N14" s="85"/>
      <c r="O14" s="90"/>
    </row>
    <row r="15" spans="2:27" ht="13.5" thickBot="1">
      <c r="B15" s="42"/>
      <c r="C15" s="43"/>
      <c r="M15" s="89"/>
      <c r="N15" s="85"/>
      <c r="O15" s="90"/>
    </row>
    <row r="16" spans="2:27" ht="15">
      <c r="C16" s="51"/>
      <c r="D16" s="51"/>
      <c r="E16" s="51"/>
      <c r="I16" s="51"/>
      <c r="J16" s="8"/>
      <c r="M16" s="89"/>
      <c r="N16" s="85"/>
      <c r="O16" s="90"/>
      <c r="Y16" s="1" t="s">
        <v>34</v>
      </c>
      <c r="Z16" s="1" t="s">
        <v>10</v>
      </c>
      <c r="AA16" s="1" t="s">
        <v>35</v>
      </c>
    </row>
    <row r="17" spans="2:27" ht="16.5" thickBot="1">
      <c r="B17" s="40" t="s">
        <v>17</v>
      </c>
      <c r="E17" s="8"/>
      <c r="G17" s="40" t="s">
        <v>14</v>
      </c>
      <c r="H17" s="40"/>
      <c r="I17" s="8"/>
      <c r="M17" s="89"/>
      <c r="N17" s="85"/>
      <c r="O17" s="90"/>
      <c r="Q17"/>
      <c r="Y17" s="1">
        <v>0.5</v>
      </c>
      <c r="Z17" s="1">
        <f>0.5/100</f>
        <v>5.0000000000000001E-3</v>
      </c>
      <c r="AA17" s="1">
        <v>5.0000000000000001E-3</v>
      </c>
    </row>
    <row r="18" spans="2:27">
      <c r="B18" s="12" t="s">
        <v>15</v>
      </c>
      <c r="C18" s="13" t="s">
        <v>38</v>
      </c>
      <c r="D18" s="13" t="s">
        <v>11</v>
      </c>
      <c r="E18" s="11" t="s">
        <v>45</v>
      </c>
      <c r="F18"/>
      <c r="G18" s="137" t="s">
        <v>40</v>
      </c>
      <c r="H18" s="138"/>
      <c r="I18" s="139"/>
      <c r="J18" s="11" t="s">
        <v>128</v>
      </c>
      <c r="M18" s="89"/>
      <c r="N18" s="85"/>
      <c r="O18" s="90"/>
      <c r="Q18"/>
      <c r="Y18" s="1">
        <v>1</v>
      </c>
      <c r="Z18" s="1">
        <v>0.01</v>
      </c>
      <c r="AA18" s="1">
        <v>0.01</v>
      </c>
    </row>
    <row r="19" spans="2:27">
      <c r="B19" s="16"/>
      <c r="C19" s="15"/>
      <c r="D19" s="15"/>
      <c r="E19" s="14" t="s">
        <v>39</v>
      </c>
      <c r="F19"/>
      <c r="G19" s="141"/>
      <c r="H19" s="131"/>
      <c r="I19" s="142"/>
      <c r="J19" s="14"/>
      <c r="M19" s="89"/>
      <c r="N19" s="85"/>
      <c r="O19" s="90"/>
      <c r="Q19"/>
      <c r="Y19" s="1">
        <v>2</v>
      </c>
      <c r="Z19" s="1">
        <v>0.02</v>
      </c>
      <c r="AA19" s="1">
        <v>0.02</v>
      </c>
    </row>
    <row r="20" spans="2:27" ht="13.5" thickBot="1">
      <c r="B20" s="44"/>
      <c r="C20" s="45"/>
      <c r="D20" s="45"/>
      <c r="E20" s="81"/>
      <c r="F20"/>
      <c r="G20" s="128"/>
      <c r="H20" s="136"/>
      <c r="I20" s="129"/>
      <c r="J20" s="43"/>
      <c r="M20" s="91"/>
      <c r="N20" s="92"/>
      <c r="O20" s="93"/>
      <c r="Q20"/>
    </row>
    <row r="21" spans="2:27">
      <c r="B21" s="51"/>
      <c r="C21" s="51"/>
      <c r="D21" s="51"/>
      <c r="E21" s="51"/>
      <c r="F21" s="51"/>
      <c r="H21" s="51"/>
      <c r="I21" s="51"/>
      <c r="J21" s="51"/>
    </row>
    <row r="22" spans="2:27">
      <c r="B22" s="51"/>
      <c r="C22" s="51"/>
      <c r="D22" s="51"/>
      <c r="E22" s="51"/>
      <c r="F22" s="51"/>
      <c r="H22" s="51"/>
      <c r="I22" s="51"/>
      <c r="J22" s="51"/>
    </row>
    <row r="23" spans="2:27" ht="15.75" thickBot="1">
      <c r="B23" s="8"/>
      <c r="C23" s="8"/>
      <c r="D23" s="8"/>
      <c r="E23" s="8"/>
      <c r="F23" s="8"/>
      <c r="G23" s="8"/>
      <c r="H23" s="8"/>
      <c r="I23" s="8"/>
      <c r="J23" s="8"/>
    </row>
    <row r="24" spans="2:27" ht="15">
      <c r="B24" s="137" t="s">
        <v>21</v>
      </c>
      <c r="C24" s="139"/>
      <c r="D24" s="13" t="s">
        <v>48</v>
      </c>
      <c r="E24" s="13" t="s">
        <v>47</v>
      </c>
      <c r="F24" s="11" t="s">
        <v>41</v>
      </c>
      <c r="G24" s="8"/>
      <c r="H24" s="8"/>
      <c r="I24" s="8"/>
    </row>
    <row r="25" spans="2:27" ht="15">
      <c r="B25" s="116"/>
      <c r="C25" s="117"/>
      <c r="D25" s="15" t="s">
        <v>49</v>
      </c>
      <c r="E25" s="15" t="s">
        <v>39</v>
      </c>
      <c r="F25" s="14" t="s">
        <v>42</v>
      </c>
      <c r="G25" s="8"/>
      <c r="H25" s="8"/>
      <c r="I25" s="8"/>
    </row>
    <row r="26" spans="2:27" ht="15.75" thickBot="1">
      <c r="B26" s="128"/>
      <c r="C26" s="129"/>
      <c r="D26" s="45"/>
      <c r="E26" s="82"/>
      <c r="F26" s="43"/>
      <c r="G26" s="8"/>
      <c r="H26" s="8"/>
      <c r="I26" s="8"/>
    </row>
    <row r="27" spans="2:27" ht="15">
      <c r="B27" s="8"/>
      <c r="C27" s="8"/>
      <c r="D27" s="8"/>
      <c r="E27" s="8"/>
      <c r="F27" s="8"/>
      <c r="G27" s="8"/>
      <c r="H27" s="8"/>
      <c r="I27" s="8"/>
      <c r="J27" s="8"/>
    </row>
    <row r="28" spans="2:27" ht="15">
      <c r="B28" s="8"/>
      <c r="C28" s="8"/>
      <c r="D28" s="8"/>
      <c r="E28" s="8"/>
      <c r="F28" s="8"/>
      <c r="G28" s="8"/>
      <c r="H28" s="8"/>
      <c r="I28" s="8"/>
      <c r="J28" s="8"/>
    </row>
    <row r="29" spans="2:27" ht="15">
      <c r="B29" s="8"/>
      <c r="C29" s="8"/>
      <c r="D29" s="8"/>
      <c r="E29" s="8"/>
      <c r="F29" s="8"/>
      <c r="G29" s="8"/>
      <c r="H29" s="8"/>
      <c r="I29" s="8"/>
      <c r="J29" s="8"/>
    </row>
    <row r="30" spans="2:27" ht="15.75" customHeight="1">
      <c r="B30" s="17" t="s">
        <v>43</v>
      </c>
      <c r="C30" s="132" t="s">
        <v>44</v>
      </c>
      <c r="D30" s="133"/>
      <c r="E30" s="133"/>
      <c r="F30" s="134"/>
      <c r="G30" s="18" t="s">
        <v>4</v>
      </c>
      <c r="H30" s="17" t="s">
        <v>4</v>
      </c>
      <c r="I30" s="17" t="s">
        <v>3</v>
      </c>
      <c r="J30" s="17" t="s">
        <v>34</v>
      </c>
      <c r="V30" s="17" t="s">
        <v>4</v>
      </c>
      <c r="W30" s="17" t="s">
        <v>4</v>
      </c>
      <c r="X30" s="17" t="s">
        <v>34</v>
      </c>
      <c r="Y30" s="17" t="s">
        <v>34</v>
      </c>
    </row>
    <row r="31" spans="2:27" ht="15.75" customHeight="1">
      <c r="B31" s="19" t="s">
        <v>163</v>
      </c>
      <c r="C31" s="122" t="s">
        <v>164</v>
      </c>
      <c r="D31" s="123"/>
      <c r="E31" s="123"/>
      <c r="F31" s="124"/>
      <c r="G31" s="20" t="s">
        <v>5</v>
      </c>
      <c r="H31" s="19" t="s">
        <v>6</v>
      </c>
      <c r="I31" s="19"/>
      <c r="J31" s="19"/>
      <c r="V31" s="19" t="s">
        <v>5</v>
      </c>
      <c r="W31" s="19" t="s">
        <v>6</v>
      </c>
      <c r="X31" s="19" t="s">
        <v>5</v>
      </c>
      <c r="Y31" s="19" t="s">
        <v>6</v>
      </c>
    </row>
    <row r="32" spans="2:27" ht="18" customHeight="1">
      <c r="B32" s="21" t="s">
        <v>39</v>
      </c>
      <c r="C32" s="125" t="s">
        <v>39</v>
      </c>
      <c r="D32" s="126"/>
      <c r="E32" s="126"/>
      <c r="F32" s="127"/>
      <c r="G32" s="20" t="s">
        <v>7</v>
      </c>
      <c r="H32" s="19" t="s">
        <v>7</v>
      </c>
      <c r="I32" s="19" t="s">
        <v>39</v>
      </c>
      <c r="J32" s="19"/>
      <c r="V32" s="19" t="s">
        <v>20</v>
      </c>
      <c r="W32" s="19" t="s">
        <v>20</v>
      </c>
      <c r="X32" s="46"/>
      <c r="Y32" s="46"/>
    </row>
    <row r="33" spans="2:25" ht="15.75">
      <c r="B33" s="22"/>
      <c r="C33" s="22">
        <v>1</v>
      </c>
      <c r="D33" s="22">
        <v>2</v>
      </c>
      <c r="E33" s="22">
        <v>3</v>
      </c>
      <c r="F33" s="22" t="s">
        <v>8</v>
      </c>
      <c r="G33" s="71"/>
      <c r="H33" s="22"/>
      <c r="I33" s="22"/>
      <c r="J33" s="22"/>
      <c r="V33" s="21" t="s">
        <v>7</v>
      </c>
      <c r="W33" s="21" t="s">
        <v>7</v>
      </c>
      <c r="X33" s="47"/>
      <c r="Y33" s="47"/>
    </row>
    <row r="34" spans="2:25" ht="15">
      <c r="B34" s="100"/>
      <c r="C34" s="37"/>
      <c r="D34" s="37"/>
      <c r="E34" s="37"/>
      <c r="F34" s="60" t="str">
        <f>IF(COUNT(C34:E34)&gt;=1,AVERAGE(C34:E34),"")</f>
        <v/>
      </c>
      <c r="G34" s="23" t="str">
        <f>IF(B34&lt;&gt;0,(F34-B34)/B34,"")</f>
        <v/>
      </c>
      <c r="H34" s="24" t="str">
        <f t="shared" ref="H34:H53" si="0">IF(B34&lt;&gt;0,ABS(MAX(C34:E34)-MIN(C34:E34))/B34,"")</f>
        <v/>
      </c>
      <c r="I34" s="68"/>
      <c r="J34" s="58" t="str">
        <f t="shared" ref="J34:J53" si="1">IF(AND(X34&lt;&gt;"",Y34&lt;&gt;""),IF(OR(X34="Inc.",Y34="Inc."),"Inc.",MAX(X34:Y34)),"")</f>
        <v/>
      </c>
      <c r="V34" s="24" t="str">
        <f t="shared" ref="V34:V53" si="2">IF(G34&lt;&gt;"",ABS(G34),"")</f>
        <v/>
      </c>
      <c r="W34" s="24" t="str">
        <f t="shared" ref="W34:W53" si="3">IF(H34&lt;&gt;"",ABS(H34),"")</f>
        <v/>
      </c>
      <c r="X34" s="53" t="str">
        <f t="shared" ref="X34:X53" si="4">IF(G34&lt;&gt;"",IF(ABS(G34)&lt;=$Z$17,$Y$17,IF(ABS(G34)&lt;=$Z$18,$Y$18,IF(ABS(G34)&lt;=$Z$19,$Y$19,"Inc."))),"")</f>
        <v/>
      </c>
      <c r="Y34" s="53" t="str">
        <f t="shared" ref="Y34:Y53" si="5">IF(H34&lt;&gt;"",IF(ABS(H34)&lt;=$AA$17,$Y$17,IF(ABS(H34)&lt;=$AA$18,$Y$18,IF(ABS(H34)&lt;=$AA$19,$Y$19,"Inc."))),"")</f>
        <v/>
      </c>
    </row>
    <row r="35" spans="2:25" ht="15">
      <c r="B35" s="100"/>
      <c r="C35" s="37"/>
      <c r="D35" s="37"/>
      <c r="E35" s="37"/>
      <c r="F35" s="60" t="str">
        <f t="shared" ref="F35:F50" si="6">IF(COUNT(C35:E35)&gt;=1,AVERAGE(C35:E35),"")</f>
        <v/>
      </c>
      <c r="G35" s="23" t="str">
        <f t="shared" ref="G35:G48" si="7">IF(B35&lt;&gt;0,(F35-B35)/B35,"")</f>
        <v/>
      </c>
      <c r="H35" s="24" t="str">
        <f t="shared" si="0"/>
        <v/>
      </c>
      <c r="I35" s="68"/>
      <c r="J35" s="56" t="str">
        <f t="shared" si="1"/>
        <v/>
      </c>
      <c r="V35" s="24" t="str">
        <f t="shared" si="2"/>
        <v/>
      </c>
      <c r="W35" s="24" t="str">
        <f t="shared" si="3"/>
        <v/>
      </c>
      <c r="X35" s="54" t="str">
        <f t="shared" si="4"/>
        <v/>
      </c>
      <c r="Y35" s="54" t="str">
        <f t="shared" si="5"/>
        <v/>
      </c>
    </row>
    <row r="36" spans="2:25" ht="15">
      <c r="B36" s="100"/>
      <c r="C36" s="37"/>
      <c r="D36" s="37"/>
      <c r="E36" s="37"/>
      <c r="F36" s="60" t="str">
        <f t="shared" si="6"/>
        <v/>
      </c>
      <c r="G36" s="23" t="str">
        <f t="shared" si="7"/>
        <v/>
      </c>
      <c r="H36" s="24" t="str">
        <f t="shared" si="0"/>
        <v/>
      </c>
      <c r="I36" s="68"/>
      <c r="J36" s="56" t="str">
        <f t="shared" si="1"/>
        <v/>
      </c>
      <c r="V36" s="24" t="str">
        <f t="shared" si="2"/>
        <v/>
      </c>
      <c r="W36" s="24" t="str">
        <f t="shared" si="3"/>
        <v/>
      </c>
      <c r="X36" s="54" t="str">
        <f t="shared" si="4"/>
        <v/>
      </c>
      <c r="Y36" s="54" t="str">
        <f t="shared" si="5"/>
        <v/>
      </c>
    </row>
    <row r="37" spans="2:25" ht="15">
      <c r="B37" s="100"/>
      <c r="C37" s="37"/>
      <c r="D37" s="37"/>
      <c r="E37" s="37"/>
      <c r="F37" s="60" t="str">
        <f t="shared" si="6"/>
        <v/>
      </c>
      <c r="G37" s="23" t="str">
        <f t="shared" si="7"/>
        <v/>
      </c>
      <c r="H37" s="24" t="str">
        <f t="shared" si="0"/>
        <v/>
      </c>
      <c r="I37" s="68"/>
      <c r="J37" s="56" t="str">
        <f t="shared" si="1"/>
        <v/>
      </c>
      <c r="V37" s="24" t="str">
        <f t="shared" si="2"/>
        <v/>
      </c>
      <c r="W37" s="24" t="str">
        <f t="shared" si="3"/>
        <v/>
      </c>
      <c r="X37" s="54" t="str">
        <f t="shared" si="4"/>
        <v/>
      </c>
      <c r="Y37" s="54" t="str">
        <f t="shared" si="5"/>
        <v/>
      </c>
    </row>
    <row r="38" spans="2:25" ht="15">
      <c r="B38" s="100"/>
      <c r="C38" s="37"/>
      <c r="D38" s="37"/>
      <c r="E38" s="37"/>
      <c r="F38" s="60" t="str">
        <f t="shared" si="6"/>
        <v/>
      </c>
      <c r="G38" s="23" t="str">
        <f t="shared" si="7"/>
        <v/>
      </c>
      <c r="H38" s="24" t="str">
        <f t="shared" si="0"/>
        <v/>
      </c>
      <c r="I38" s="68"/>
      <c r="J38" s="56" t="str">
        <f t="shared" si="1"/>
        <v/>
      </c>
      <c r="V38" s="24" t="str">
        <f t="shared" si="2"/>
        <v/>
      </c>
      <c r="W38" s="24" t="str">
        <f t="shared" si="3"/>
        <v/>
      </c>
      <c r="X38" s="54" t="str">
        <f t="shared" si="4"/>
        <v/>
      </c>
      <c r="Y38" s="54" t="str">
        <f t="shared" si="5"/>
        <v/>
      </c>
    </row>
    <row r="39" spans="2:25" ht="15">
      <c r="B39" s="100"/>
      <c r="C39" s="37"/>
      <c r="D39" s="37"/>
      <c r="E39" s="37"/>
      <c r="F39" s="60" t="str">
        <f t="shared" si="6"/>
        <v/>
      </c>
      <c r="G39" s="23" t="str">
        <f t="shared" si="7"/>
        <v/>
      </c>
      <c r="H39" s="24" t="str">
        <f t="shared" si="0"/>
        <v/>
      </c>
      <c r="I39" s="68"/>
      <c r="J39" s="56" t="str">
        <f t="shared" si="1"/>
        <v/>
      </c>
      <c r="V39" s="24" t="str">
        <f t="shared" si="2"/>
        <v/>
      </c>
      <c r="W39" s="24" t="str">
        <f t="shared" si="3"/>
        <v/>
      </c>
      <c r="X39" s="54" t="str">
        <f t="shared" si="4"/>
        <v/>
      </c>
      <c r="Y39" s="54" t="str">
        <f t="shared" si="5"/>
        <v/>
      </c>
    </row>
    <row r="40" spans="2:25" ht="15">
      <c r="B40" s="100"/>
      <c r="C40" s="37"/>
      <c r="D40" s="37"/>
      <c r="E40" s="37"/>
      <c r="F40" s="60" t="str">
        <f t="shared" si="6"/>
        <v/>
      </c>
      <c r="G40" s="23" t="str">
        <f t="shared" si="7"/>
        <v/>
      </c>
      <c r="H40" s="24" t="str">
        <f t="shared" si="0"/>
        <v/>
      </c>
      <c r="I40" s="68"/>
      <c r="J40" s="56" t="str">
        <f t="shared" si="1"/>
        <v/>
      </c>
      <c r="V40" s="24" t="str">
        <f t="shared" si="2"/>
        <v/>
      </c>
      <c r="W40" s="24" t="str">
        <f t="shared" si="3"/>
        <v/>
      </c>
      <c r="X40" s="54" t="str">
        <f t="shared" si="4"/>
        <v/>
      </c>
      <c r="Y40" s="54" t="str">
        <f t="shared" si="5"/>
        <v/>
      </c>
    </row>
    <row r="41" spans="2:25" ht="15">
      <c r="B41" s="100"/>
      <c r="C41" s="37"/>
      <c r="D41" s="37"/>
      <c r="E41" s="37"/>
      <c r="F41" s="60" t="str">
        <f t="shared" si="6"/>
        <v/>
      </c>
      <c r="G41" s="23" t="str">
        <f t="shared" si="7"/>
        <v/>
      </c>
      <c r="H41" s="24" t="str">
        <f t="shared" si="0"/>
        <v/>
      </c>
      <c r="I41" s="68"/>
      <c r="J41" s="56" t="str">
        <f t="shared" si="1"/>
        <v/>
      </c>
      <c r="V41" s="24" t="str">
        <f t="shared" si="2"/>
        <v/>
      </c>
      <c r="W41" s="24" t="str">
        <f t="shared" si="3"/>
        <v/>
      </c>
      <c r="X41" s="54" t="str">
        <f t="shared" si="4"/>
        <v/>
      </c>
      <c r="Y41" s="54" t="str">
        <f t="shared" si="5"/>
        <v/>
      </c>
    </row>
    <row r="42" spans="2:25" ht="15">
      <c r="B42" s="100"/>
      <c r="C42" s="37"/>
      <c r="D42" s="37"/>
      <c r="E42" s="37"/>
      <c r="F42" s="60" t="str">
        <f t="shared" si="6"/>
        <v/>
      </c>
      <c r="G42" s="23" t="str">
        <f t="shared" si="7"/>
        <v/>
      </c>
      <c r="H42" s="24" t="str">
        <f t="shared" si="0"/>
        <v/>
      </c>
      <c r="I42" s="68"/>
      <c r="J42" s="56" t="str">
        <f t="shared" si="1"/>
        <v/>
      </c>
      <c r="V42" s="24" t="str">
        <f t="shared" si="2"/>
        <v/>
      </c>
      <c r="W42" s="24" t="str">
        <f t="shared" si="3"/>
        <v/>
      </c>
      <c r="X42" s="54" t="str">
        <f t="shared" si="4"/>
        <v/>
      </c>
      <c r="Y42" s="54" t="str">
        <f t="shared" si="5"/>
        <v/>
      </c>
    </row>
    <row r="43" spans="2:25" ht="15">
      <c r="B43" s="100"/>
      <c r="C43" s="37"/>
      <c r="D43" s="37"/>
      <c r="E43" s="37"/>
      <c r="F43" s="60" t="str">
        <f t="shared" si="6"/>
        <v/>
      </c>
      <c r="G43" s="23" t="str">
        <f t="shared" si="7"/>
        <v/>
      </c>
      <c r="H43" s="24" t="str">
        <f t="shared" si="0"/>
        <v/>
      </c>
      <c r="I43" s="68"/>
      <c r="J43" s="56" t="str">
        <f t="shared" si="1"/>
        <v/>
      </c>
      <c r="V43" s="24" t="str">
        <f t="shared" si="2"/>
        <v/>
      </c>
      <c r="W43" s="24" t="str">
        <f t="shared" si="3"/>
        <v/>
      </c>
      <c r="X43" s="54" t="str">
        <f t="shared" si="4"/>
        <v/>
      </c>
      <c r="Y43" s="54" t="str">
        <f t="shared" si="5"/>
        <v/>
      </c>
    </row>
    <row r="44" spans="2:25" ht="15">
      <c r="B44" s="100"/>
      <c r="C44" s="37"/>
      <c r="D44" s="37"/>
      <c r="E44" s="37"/>
      <c r="F44" s="60" t="str">
        <f t="shared" si="6"/>
        <v/>
      </c>
      <c r="G44" s="23" t="str">
        <f t="shared" si="7"/>
        <v/>
      </c>
      <c r="H44" s="24" t="str">
        <f t="shared" si="0"/>
        <v/>
      </c>
      <c r="I44" s="68"/>
      <c r="J44" s="56" t="str">
        <f t="shared" si="1"/>
        <v/>
      </c>
      <c r="V44" s="24" t="str">
        <f t="shared" si="2"/>
        <v/>
      </c>
      <c r="W44" s="24" t="str">
        <f t="shared" si="3"/>
        <v/>
      </c>
      <c r="X44" s="54" t="str">
        <f t="shared" si="4"/>
        <v/>
      </c>
      <c r="Y44" s="54" t="str">
        <f t="shared" si="5"/>
        <v/>
      </c>
    </row>
    <row r="45" spans="2:25" ht="15">
      <c r="B45" s="100"/>
      <c r="C45" s="37"/>
      <c r="D45" s="37"/>
      <c r="E45" s="37"/>
      <c r="F45" s="60" t="str">
        <f t="shared" si="6"/>
        <v/>
      </c>
      <c r="G45" s="23" t="str">
        <f t="shared" si="7"/>
        <v/>
      </c>
      <c r="H45" s="24" t="str">
        <f t="shared" si="0"/>
        <v/>
      </c>
      <c r="I45" s="68"/>
      <c r="J45" s="56" t="str">
        <f t="shared" si="1"/>
        <v/>
      </c>
      <c r="V45" s="24" t="str">
        <f t="shared" si="2"/>
        <v/>
      </c>
      <c r="W45" s="24" t="str">
        <f t="shared" si="3"/>
        <v/>
      </c>
      <c r="X45" s="54" t="str">
        <f t="shared" si="4"/>
        <v/>
      </c>
      <c r="Y45" s="54" t="str">
        <f t="shared" si="5"/>
        <v/>
      </c>
    </row>
    <row r="46" spans="2:25" ht="15">
      <c r="B46" s="100"/>
      <c r="C46" s="37"/>
      <c r="D46" s="37"/>
      <c r="E46" s="37"/>
      <c r="F46" s="60" t="str">
        <f t="shared" si="6"/>
        <v/>
      </c>
      <c r="G46" s="23" t="str">
        <f t="shared" si="7"/>
        <v/>
      </c>
      <c r="H46" s="24" t="str">
        <f t="shared" si="0"/>
        <v/>
      </c>
      <c r="I46" s="68"/>
      <c r="J46" s="56" t="str">
        <f t="shared" si="1"/>
        <v/>
      </c>
      <c r="V46" s="24" t="str">
        <f t="shared" si="2"/>
        <v/>
      </c>
      <c r="W46" s="24" t="str">
        <f t="shared" si="3"/>
        <v/>
      </c>
      <c r="X46" s="54" t="str">
        <f t="shared" si="4"/>
        <v/>
      </c>
      <c r="Y46" s="54" t="str">
        <f t="shared" si="5"/>
        <v/>
      </c>
    </row>
    <row r="47" spans="2:25" ht="15">
      <c r="B47" s="100"/>
      <c r="C47" s="37"/>
      <c r="D47" s="37"/>
      <c r="E47" s="37"/>
      <c r="F47" s="60" t="str">
        <f t="shared" si="6"/>
        <v/>
      </c>
      <c r="G47" s="23" t="str">
        <f t="shared" si="7"/>
        <v/>
      </c>
      <c r="H47" s="24" t="str">
        <f t="shared" si="0"/>
        <v/>
      </c>
      <c r="I47" s="68"/>
      <c r="J47" s="56" t="str">
        <f t="shared" si="1"/>
        <v/>
      </c>
      <c r="K47" s="2"/>
      <c r="V47" s="24" t="str">
        <f t="shared" si="2"/>
        <v/>
      </c>
      <c r="W47" s="24" t="str">
        <f t="shared" si="3"/>
        <v/>
      </c>
      <c r="X47" s="54" t="str">
        <f t="shared" si="4"/>
        <v/>
      </c>
      <c r="Y47" s="54" t="str">
        <f t="shared" si="5"/>
        <v/>
      </c>
    </row>
    <row r="48" spans="2:25" ht="15">
      <c r="B48" s="100"/>
      <c r="C48" s="37"/>
      <c r="D48" s="37"/>
      <c r="E48" s="37"/>
      <c r="F48" s="60" t="str">
        <f t="shared" si="6"/>
        <v/>
      </c>
      <c r="G48" s="23" t="str">
        <f t="shared" si="7"/>
        <v/>
      </c>
      <c r="H48" s="24" t="str">
        <f t="shared" si="0"/>
        <v/>
      </c>
      <c r="I48" s="68"/>
      <c r="J48" s="56" t="str">
        <f t="shared" si="1"/>
        <v/>
      </c>
      <c r="K48" s="2"/>
      <c r="V48" s="24" t="str">
        <f t="shared" si="2"/>
        <v/>
      </c>
      <c r="W48" s="24" t="str">
        <f t="shared" si="3"/>
        <v/>
      </c>
      <c r="X48" s="54" t="str">
        <f t="shared" si="4"/>
        <v/>
      </c>
      <c r="Y48" s="54" t="str">
        <f t="shared" si="5"/>
        <v/>
      </c>
    </row>
    <row r="49" spans="2:25" ht="15">
      <c r="B49" s="100"/>
      <c r="C49" s="37"/>
      <c r="D49" s="37"/>
      <c r="E49" s="37"/>
      <c r="F49" s="60" t="str">
        <f t="shared" si="6"/>
        <v/>
      </c>
      <c r="G49" s="23" t="str">
        <f>IF(B49&lt;&gt;0,(F49-B49)/B49,"")</f>
        <v/>
      </c>
      <c r="H49" s="24" t="str">
        <f t="shared" si="0"/>
        <v/>
      </c>
      <c r="I49" s="68"/>
      <c r="J49" s="56" t="str">
        <f t="shared" si="1"/>
        <v/>
      </c>
      <c r="K49" s="2"/>
      <c r="V49" s="24" t="str">
        <f t="shared" si="2"/>
        <v/>
      </c>
      <c r="W49" s="24" t="str">
        <f t="shared" si="3"/>
        <v/>
      </c>
      <c r="X49" s="54" t="str">
        <f t="shared" si="4"/>
        <v/>
      </c>
      <c r="Y49" s="54" t="str">
        <f t="shared" si="5"/>
        <v/>
      </c>
    </row>
    <row r="50" spans="2:25" ht="15">
      <c r="B50" s="100"/>
      <c r="C50" s="37"/>
      <c r="D50" s="37"/>
      <c r="E50" s="37"/>
      <c r="F50" s="60" t="str">
        <f t="shared" si="6"/>
        <v/>
      </c>
      <c r="G50" s="23" t="str">
        <f>IF(B50&lt;&gt;0,(F50-B50)/B50,"")</f>
        <v/>
      </c>
      <c r="H50" s="24" t="str">
        <f t="shared" si="0"/>
        <v/>
      </c>
      <c r="I50" s="68"/>
      <c r="J50" s="56" t="str">
        <f t="shared" si="1"/>
        <v/>
      </c>
      <c r="K50" s="2"/>
      <c r="V50" s="24" t="str">
        <f t="shared" si="2"/>
        <v/>
      </c>
      <c r="W50" s="24" t="str">
        <f t="shared" si="3"/>
        <v/>
      </c>
      <c r="X50" s="54" t="str">
        <f t="shared" si="4"/>
        <v/>
      </c>
      <c r="Y50" s="54" t="str">
        <f t="shared" si="5"/>
        <v/>
      </c>
    </row>
    <row r="51" spans="2:25" ht="15">
      <c r="B51" s="100"/>
      <c r="C51" s="37"/>
      <c r="D51" s="37"/>
      <c r="E51" s="37"/>
      <c r="F51" s="60" t="str">
        <f>IF(COUNT(C51:E51)&gt;=1,AVERAGE(C51:E51),"")</f>
        <v/>
      </c>
      <c r="G51" s="23" t="str">
        <f>IF(B51&lt;&gt;0,(F51-B51)/B51,"")</f>
        <v/>
      </c>
      <c r="H51" s="24" t="str">
        <f t="shared" si="0"/>
        <v/>
      </c>
      <c r="I51" s="68"/>
      <c r="J51" s="56" t="str">
        <f t="shared" si="1"/>
        <v/>
      </c>
      <c r="K51" s="2"/>
      <c r="V51" s="24" t="str">
        <f t="shared" si="2"/>
        <v/>
      </c>
      <c r="W51" s="24" t="str">
        <f t="shared" si="3"/>
        <v/>
      </c>
      <c r="X51" s="54" t="str">
        <f t="shared" si="4"/>
        <v/>
      </c>
      <c r="Y51" s="54" t="str">
        <f t="shared" si="5"/>
        <v/>
      </c>
    </row>
    <row r="52" spans="2:25" ht="15">
      <c r="B52" s="100"/>
      <c r="C52" s="37"/>
      <c r="D52" s="37"/>
      <c r="E52" s="37"/>
      <c r="F52" s="60" t="str">
        <f>IF(COUNT(C52:E52)&gt;=1,AVERAGE(C52:E52),"")</f>
        <v/>
      </c>
      <c r="G52" s="23" t="str">
        <f>IF(B52&lt;&gt;0,(F52-B52)/B52,"")</f>
        <v/>
      </c>
      <c r="H52" s="24" t="str">
        <f t="shared" si="0"/>
        <v/>
      </c>
      <c r="I52" s="68"/>
      <c r="J52" s="56" t="str">
        <f t="shared" si="1"/>
        <v/>
      </c>
      <c r="K52" s="2"/>
      <c r="V52" s="24" t="str">
        <f t="shared" si="2"/>
        <v/>
      </c>
      <c r="W52" s="24" t="str">
        <f t="shared" si="3"/>
        <v/>
      </c>
      <c r="X52" s="54" t="str">
        <f t="shared" si="4"/>
        <v/>
      </c>
      <c r="Y52" s="54" t="str">
        <f t="shared" si="5"/>
        <v/>
      </c>
    </row>
    <row r="53" spans="2:25" ht="15">
      <c r="B53" s="109"/>
      <c r="C53" s="38"/>
      <c r="D53" s="38"/>
      <c r="E53" s="38"/>
      <c r="F53" s="61" t="str">
        <f>IF(COUNT(C53:E53)&gt;=1,AVERAGE(C53:E53),"")</f>
        <v/>
      </c>
      <c r="G53" s="25" t="str">
        <f>IF(B53&lt;&gt;0,(F53-B53)/B53,"")</f>
        <v/>
      </c>
      <c r="H53" s="25" t="str">
        <f t="shared" si="0"/>
        <v/>
      </c>
      <c r="I53" s="69"/>
      <c r="J53" s="57" t="str">
        <f t="shared" si="1"/>
        <v/>
      </c>
      <c r="K53" s="2"/>
      <c r="V53" s="25" t="str">
        <f t="shared" si="2"/>
        <v/>
      </c>
      <c r="W53" s="25" t="str">
        <f t="shared" si="3"/>
        <v/>
      </c>
      <c r="X53" s="55" t="str">
        <f t="shared" si="4"/>
        <v/>
      </c>
      <c r="Y53" s="55" t="str">
        <f t="shared" si="5"/>
        <v/>
      </c>
    </row>
    <row r="54" spans="2:25" ht="15">
      <c r="C54" s="8"/>
      <c r="D54" s="8"/>
      <c r="E54" s="8"/>
      <c r="F54" s="8"/>
      <c r="G54" s="8"/>
      <c r="H54" s="8"/>
      <c r="I54" s="8"/>
    </row>
    <row r="55" spans="2:25" ht="15.75">
      <c r="C55" s="2"/>
      <c r="D55" s="26"/>
      <c r="E55" s="27"/>
    </row>
    <row r="56" spans="2:25" ht="20.25">
      <c r="C56" s="2"/>
      <c r="D56" s="26"/>
      <c r="E56" s="27"/>
      <c r="F56" s="118" t="s">
        <v>36</v>
      </c>
      <c r="G56" s="118"/>
      <c r="H56" s="118"/>
      <c r="I56" s="118"/>
      <c r="J56" s="59" t="str">
        <f>IF(COUNT(J34:J53)&gt;0,MAX(J34:J53),"")</f>
        <v/>
      </c>
    </row>
    <row r="57" spans="2:25" ht="15">
      <c r="C57" s="8"/>
      <c r="D57" s="8"/>
      <c r="E57" s="8"/>
    </row>
    <row r="58" spans="2:25" ht="15">
      <c r="D58" s="28" t="s">
        <v>19</v>
      </c>
      <c r="E58" s="30"/>
      <c r="F58" s="8"/>
      <c r="G58" s="28" t="s">
        <v>9</v>
      </c>
      <c r="H58" s="29"/>
      <c r="I58" s="29"/>
      <c r="J58" s="30"/>
    </row>
    <row r="59" spans="2:25" ht="15">
      <c r="D59" s="33"/>
      <c r="E59" s="32"/>
      <c r="F59" s="8"/>
      <c r="G59" s="113"/>
      <c r="H59" s="114"/>
      <c r="I59" s="114"/>
      <c r="J59" s="115"/>
    </row>
    <row r="60" spans="2:25" ht="15">
      <c r="D60" s="36"/>
      <c r="E60" s="32"/>
      <c r="F60" s="8"/>
      <c r="G60" s="113"/>
      <c r="H60" s="114"/>
      <c r="I60" s="114"/>
      <c r="J60" s="115"/>
    </row>
    <row r="61" spans="2:25" ht="15">
      <c r="D61" s="31"/>
      <c r="E61" s="32"/>
      <c r="F61" s="8"/>
      <c r="G61" s="113"/>
      <c r="H61" s="114"/>
      <c r="I61" s="114"/>
      <c r="J61" s="115"/>
    </row>
    <row r="62" spans="2:25" ht="15">
      <c r="D62" s="34"/>
      <c r="E62" s="35"/>
      <c r="F62" s="8"/>
      <c r="G62" s="119"/>
      <c r="H62" s="120"/>
      <c r="I62" s="120"/>
      <c r="J62" s="121"/>
    </row>
    <row r="63" spans="2:25" ht="15">
      <c r="C63" s="2"/>
      <c r="D63" s="2"/>
      <c r="E63" s="8"/>
      <c r="F63" s="8"/>
      <c r="G63" s="8"/>
      <c r="H63" s="8"/>
      <c r="I63" s="8"/>
    </row>
    <row r="64" spans="2:25" ht="15">
      <c r="C64" s="2"/>
      <c r="D64" s="2"/>
      <c r="E64" s="2"/>
      <c r="F64" s="2"/>
      <c r="G64" s="2"/>
      <c r="H64" s="2"/>
      <c r="I64" s="8"/>
    </row>
    <row r="65" spans="2:10">
      <c r="B65" s="112" t="s">
        <v>37</v>
      </c>
      <c r="C65" s="112"/>
      <c r="D65" s="112"/>
      <c r="E65" s="112"/>
      <c r="F65" s="112"/>
      <c r="G65" s="112"/>
      <c r="H65" s="112"/>
      <c r="I65" s="112"/>
      <c r="J65" s="112"/>
    </row>
    <row r="66" spans="2:10" ht="15" customHeight="1"/>
    <row r="67" spans="2:10" ht="15">
      <c r="B67" s="8"/>
      <c r="C67" s="8"/>
      <c r="D67" s="8"/>
      <c r="E67" s="8"/>
      <c r="F67" s="8"/>
      <c r="G67" s="8"/>
      <c r="H67" s="8"/>
      <c r="I67" s="8"/>
    </row>
    <row r="68" spans="2:10" ht="15">
      <c r="B68" s="8"/>
      <c r="C68" s="26"/>
      <c r="D68" s="8"/>
      <c r="E68" s="8"/>
      <c r="F68" s="8"/>
      <c r="G68" s="8"/>
      <c r="H68" s="8"/>
      <c r="I68" s="8"/>
    </row>
    <row r="69" spans="2:10" ht="15">
      <c r="B69" s="8"/>
      <c r="C69" s="8"/>
      <c r="D69" s="8"/>
      <c r="E69" s="8"/>
      <c r="F69" s="8"/>
      <c r="G69" s="8"/>
      <c r="H69" s="8"/>
      <c r="I69" s="8"/>
    </row>
    <row r="73" spans="2:10">
      <c r="B73" s="2"/>
    </row>
  </sheetData>
  <mergeCells count="21">
    <mergeCell ref="C5:E5"/>
    <mergeCell ref="B7:J7"/>
    <mergeCell ref="C30:F30"/>
    <mergeCell ref="B10:C10"/>
    <mergeCell ref="H10:J10"/>
    <mergeCell ref="G18:I18"/>
    <mergeCell ref="H9:J9"/>
    <mergeCell ref="B24:C24"/>
    <mergeCell ref="B9:C9"/>
    <mergeCell ref="G19:I19"/>
    <mergeCell ref="G20:I20"/>
    <mergeCell ref="B65:J65"/>
    <mergeCell ref="G61:J61"/>
    <mergeCell ref="G59:J59"/>
    <mergeCell ref="B25:C25"/>
    <mergeCell ref="F56:I56"/>
    <mergeCell ref="G62:J62"/>
    <mergeCell ref="C31:F31"/>
    <mergeCell ref="G60:J60"/>
    <mergeCell ref="C32:F32"/>
    <mergeCell ref="B26:C26"/>
  </mergeCells>
  <phoneticPr fontId="0" type="noConversion"/>
  <dataValidations count="13">
    <dataValidation type="list" showInputMessage="1" showErrorMessage="1" sqref="C12">
      <formula1>Liste_Type_Afficheur</formula1>
    </dataValidation>
    <dataValidation type="list" allowBlank="1" showInputMessage="1" showErrorMessage="1" sqref="E11:E12">
      <formula1>Liste_Resolution_Afficheur</formula1>
    </dataValidation>
    <dataValidation type="list" allowBlank="1" showInputMessage="1" showErrorMessage="1" sqref="G11:G12">
      <formula1>Liste_Peson_type</formula1>
    </dataValidation>
    <dataValidation type="list" allowBlank="1" showInputMessage="1" showErrorMessage="1" sqref="H11:H12">
      <formula1>Liste_Peson_Plage</formula1>
    </dataValidation>
    <dataValidation type="list" allowBlank="1" showInputMessage="1" showErrorMessage="1" sqref="I11:I12">
      <formula1>Liste_Peson_Num</formula1>
    </dataValidation>
    <dataValidation type="list" allowBlank="1" showInputMessage="1" showErrorMessage="1" sqref="C16">
      <formula1>Liste_Pupitre</formula1>
    </dataValidation>
    <dataValidation type="list" allowBlank="1" showInputMessage="1" showErrorMessage="1" sqref="I16 B26">
      <formula1>Liste_Controleur</formula1>
    </dataValidation>
    <dataValidation type="list" allowBlank="1" showInputMessage="1" showErrorMessage="1" sqref="H21:H22">
      <formula1>Liste_Capteur_Marque</formula1>
    </dataValidation>
    <dataValidation type="list" allowBlank="1" showInputMessage="1" showErrorMessage="1" sqref="I21:I22">
      <formula1>Liste_Capteur_Type</formula1>
    </dataValidation>
    <dataValidation allowBlank="1" showInputMessage="1" sqref="H10:J10"/>
    <dataValidation showInputMessage="1" showErrorMessage="1" sqref="B10:C10"/>
    <dataValidation type="list" allowBlank="1" showInputMessage="1" showErrorMessage="1" sqref="G20:I20">
      <formula1>Liste_Capteur_ID</formula1>
    </dataValidation>
    <dataValidation type="list" errorStyle="information" allowBlank="1" showInputMessage="1" showErrorMessage="1" sqref="B15">
      <formula1>Liste_Pupitre</formula1>
    </dataValidation>
  </dataValidations>
  <printOptions horizontalCentered="1" verticalCentered="1" gridLinesSet="0"/>
  <pageMargins left="0" right="0" top="0" bottom="0" header="0.35433070866141736" footer="0.27559055118110237"/>
  <pageSetup paperSize="9" scale="80" orientation="portrait" horizontalDpi="4294967294" verticalDpi="4294967292" r:id="rId1"/>
  <headerFooter alignWithMargins="0">
    <oddFooter>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B1:AA73"/>
  <sheetViews>
    <sheetView showGridLines="0" zoomScale="75" workbookViewId="0">
      <selection activeCell="C31" sqref="C31:F31"/>
    </sheetView>
  </sheetViews>
  <sheetFormatPr baseColWidth="10" defaultRowHeight="12.75"/>
  <cols>
    <col min="1" max="1" width="11.42578125" style="1"/>
    <col min="2" max="2" width="13" style="1" customWidth="1"/>
    <col min="3" max="4" width="15.28515625" style="1" customWidth="1"/>
    <col min="5" max="5" width="16" style="1" customWidth="1"/>
    <col min="6" max="6" width="15.28515625" style="1" customWidth="1"/>
    <col min="7" max="7" width="12.7109375" style="1" customWidth="1"/>
    <col min="8" max="8" width="14.7109375" style="1" customWidth="1"/>
    <col min="9" max="9" width="15.7109375" style="1" customWidth="1"/>
    <col min="10" max="10" width="13.5703125" style="1" customWidth="1"/>
    <col min="11" max="12" width="11.42578125" style="1"/>
    <col min="13" max="14" width="12.5703125" style="1" bestFit="1" customWidth="1"/>
    <col min="15" max="15" width="14.28515625" style="1" customWidth="1"/>
    <col min="16" max="16384" width="11.42578125" style="1"/>
  </cols>
  <sheetData>
    <row r="1" spans="2:10" ht="6" customHeight="1"/>
    <row r="2" spans="2:10" ht="30">
      <c r="B2" s="2"/>
      <c r="F2" s="3" t="s">
        <v>46</v>
      </c>
      <c r="I2" s="4"/>
    </row>
    <row r="3" spans="2:10" ht="9" customHeight="1">
      <c r="B3" s="5"/>
      <c r="I3" s="4"/>
    </row>
    <row r="4" spans="2:10" ht="9" customHeight="1">
      <c r="B4" s="5"/>
      <c r="I4" s="4"/>
    </row>
    <row r="5" spans="2:10" ht="15">
      <c r="B5" s="6" t="s">
        <v>0</v>
      </c>
      <c r="C5" s="150" t="str">
        <f>IF('Saisie des valeurs'!C5:D5&lt;&gt;"",'Saisie des valeurs'!C5:D5,"")</f>
        <v>Client</v>
      </c>
      <c r="D5" s="150"/>
      <c r="E5" s="150"/>
      <c r="F5" s="7"/>
      <c r="G5" s="62"/>
      <c r="H5" s="7" t="s">
        <v>12</v>
      </c>
      <c r="I5" s="84">
        <f ca="1">IF('Saisie des valeurs'!I5:J5&lt;&gt;"",'Saisie des valeurs'!I5:J5,"")</f>
        <v>41907</v>
      </c>
      <c r="J5" s="70"/>
    </row>
    <row r="6" spans="2:10" ht="15">
      <c r="C6" s="48"/>
      <c r="D6" s="41"/>
      <c r="E6" s="41"/>
      <c r="F6" s="49"/>
      <c r="G6" s="50"/>
      <c r="H6" s="52"/>
      <c r="I6" s="52"/>
      <c r="J6" s="8"/>
    </row>
    <row r="7" spans="2:10" ht="15" customHeight="1">
      <c r="B7" s="131"/>
      <c r="C7" s="131"/>
      <c r="D7" s="131"/>
      <c r="E7" s="131"/>
      <c r="F7" s="131"/>
      <c r="G7" s="131"/>
      <c r="H7" s="131"/>
      <c r="I7" s="131"/>
      <c r="J7" s="131"/>
    </row>
    <row r="8" spans="2:10" ht="16.5" thickBot="1">
      <c r="B8" s="9" t="s">
        <v>1</v>
      </c>
      <c r="C8" s="8"/>
      <c r="D8" s="8"/>
      <c r="F8" s="8"/>
      <c r="H8" s="40" t="s">
        <v>26</v>
      </c>
      <c r="I8" s="8"/>
      <c r="J8" s="8"/>
    </row>
    <row r="9" spans="2:10">
      <c r="B9" s="137" t="s">
        <v>40</v>
      </c>
      <c r="C9" s="140"/>
      <c r="D9" s="74"/>
      <c r="H9" s="137" t="s">
        <v>40</v>
      </c>
      <c r="I9" s="138" t="s">
        <v>18</v>
      </c>
      <c r="J9" s="140" t="s">
        <v>2</v>
      </c>
    </row>
    <row r="10" spans="2:10" ht="13.5" thickBot="1">
      <c r="B10" s="146" t="str">
        <f>IF('Saisie des valeurs'!B10&lt;&gt;"",'Saisie des valeurs'!B10,"")</f>
        <v>3R Conditionneur n°2013-01-057</v>
      </c>
      <c r="C10" s="148"/>
      <c r="D10" s="74"/>
      <c r="H10" s="146" t="str">
        <f>IF('Saisie des valeurs'!H10&lt;&gt;"",'Saisie des valeurs'!H10,"")</f>
        <v>HBM 2000kN N° H32636</v>
      </c>
      <c r="I10" s="147" t="str">
        <f>IF('Saisie des valeurs'!J10&lt;&gt;"",'Saisie des valeurs'!J10,"")</f>
        <v/>
      </c>
      <c r="J10" s="148" t="e">
        <f>IF('Saisie des valeurs'!#REF!&lt;&gt;"",'Saisie des valeurs'!#REF!,"")</f>
        <v>#REF!</v>
      </c>
    </row>
    <row r="11" spans="2:10">
      <c r="C11" s="51"/>
      <c r="D11" s="51"/>
      <c r="E11" s="51"/>
      <c r="J11" s="2"/>
    </row>
    <row r="12" spans="2:10">
      <c r="C12" s="51"/>
      <c r="D12" s="51"/>
      <c r="E12" s="51"/>
      <c r="J12" s="2"/>
    </row>
    <row r="13" spans="2:10" ht="16.5" thickBot="1">
      <c r="B13" s="40" t="s">
        <v>16</v>
      </c>
      <c r="I13" s="2"/>
      <c r="J13" s="2"/>
    </row>
    <row r="14" spans="2:10">
      <c r="B14" s="10" t="s">
        <v>38</v>
      </c>
      <c r="C14" s="11" t="s">
        <v>11</v>
      </c>
    </row>
    <row r="15" spans="2:10" ht="13.5" thickBot="1">
      <c r="B15" s="75" t="str">
        <f>IF('Saisie des valeurs'!B15&lt;&gt;"",'Saisie des valeurs'!B15,"")</f>
        <v/>
      </c>
      <c r="C15" s="65" t="str">
        <f>IF('Saisie des valeurs'!C15&lt;&gt;"",'Saisie des valeurs'!C15,"")</f>
        <v/>
      </c>
    </row>
    <row r="16" spans="2:10" ht="15">
      <c r="C16" s="51"/>
      <c r="D16" s="51"/>
      <c r="E16" s="51"/>
      <c r="I16" s="51"/>
      <c r="J16" s="8"/>
    </row>
    <row r="17" spans="2:27" ht="16.5" thickBot="1">
      <c r="B17" s="40" t="s">
        <v>17</v>
      </c>
      <c r="E17" s="8"/>
      <c r="G17" s="40" t="s">
        <v>14</v>
      </c>
      <c r="H17" s="40"/>
      <c r="I17" s="8"/>
      <c r="Q17" s="74"/>
      <c r="Y17" s="1">
        <v>0.5</v>
      </c>
      <c r="Z17" s="1">
        <f>0.5/100</f>
        <v>5.0000000000000001E-3</v>
      </c>
      <c r="AA17" s="1">
        <v>5.0000000000000001E-3</v>
      </c>
    </row>
    <row r="18" spans="2:27">
      <c r="B18" s="12" t="s">
        <v>15</v>
      </c>
      <c r="C18" s="13" t="s">
        <v>38</v>
      </c>
      <c r="D18" s="13" t="s">
        <v>11</v>
      </c>
      <c r="E18" s="11" t="s">
        <v>45</v>
      </c>
      <c r="F18" s="74"/>
      <c r="G18" s="137" t="s">
        <v>40</v>
      </c>
      <c r="H18" s="138"/>
      <c r="I18" s="139"/>
      <c r="J18" s="11" t="s">
        <v>2</v>
      </c>
      <c r="Q18" s="74"/>
      <c r="Y18" s="1">
        <v>1</v>
      </c>
      <c r="Z18" s="1">
        <v>0.01</v>
      </c>
      <c r="AA18" s="1">
        <v>0.01</v>
      </c>
    </row>
    <row r="19" spans="2:27">
      <c r="B19" s="16"/>
      <c r="C19" s="15"/>
      <c r="D19" s="15"/>
      <c r="E19" s="14" t="s">
        <v>39</v>
      </c>
      <c r="F19" s="74"/>
      <c r="G19" s="141"/>
      <c r="H19" s="131"/>
      <c r="I19" s="142"/>
      <c r="J19" s="14"/>
      <c r="Q19" s="74"/>
      <c r="Y19" s="1">
        <v>2</v>
      </c>
      <c r="Z19" s="1">
        <v>0.02</v>
      </c>
      <c r="AA19" s="1">
        <v>0.02</v>
      </c>
    </row>
    <row r="20" spans="2:27" ht="13.5" thickBot="1">
      <c r="B20" s="63" t="str">
        <f>IF('Saisie des valeurs'!B20&lt;&gt;"",'Saisie des valeurs'!B20,"")</f>
        <v/>
      </c>
      <c r="C20" s="64" t="str">
        <f>IF('Saisie des valeurs'!C20&lt;&gt;"",'Saisie des valeurs'!C20,"")</f>
        <v/>
      </c>
      <c r="D20" s="64" t="str">
        <f>IF('Saisie des valeurs'!D20&lt;&gt;"",'Saisie des valeurs'!D20,"")</f>
        <v/>
      </c>
      <c r="E20" s="65" t="str">
        <f>IF('Saisie des valeurs'!E20&lt;&gt;"",'Saisie des valeurs'!E20,"")</f>
        <v/>
      </c>
      <c r="F20" s="74"/>
      <c r="G20" s="146" t="str">
        <f>IF('Saisie des valeurs'!G20&lt;&gt;"",'Saisie des valeurs'!G20,"")</f>
        <v/>
      </c>
      <c r="H20" s="147"/>
      <c r="I20" s="149"/>
      <c r="J20" s="65" t="str">
        <f>IF('Saisie des valeurs'!J20&lt;&gt;"",'Saisie des valeurs'!J20,"")</f>
        <v/>
      </c>
      <c r="Q20" s="74"/>
    </row>
    <row r="21" spans="2:27">
      <c r="B21" s="51"/>
      <c r="C21" s="51"/>
      <c r="D21" s="51"/>
      <c r="E21" s="51"/>
      <c r="F21" s="51"/>
      <c r="H21" s="51"/>
      <c r="I21" s="51"/>
      <c r="J21" s="51"/>
    </row>
    <row r="22" spans="2:27">
      <c r="B22" s="51"/>
      <c r="C22" s="51"/>
      <c r="D22" s="51"/>
      <c r="E22" s="51"/>
      <c r="F22" s="51"/>
      <c r="H22" s="51"/>
      <c r="I22" s="51"/>
      <c r="J22" s="51"/>
    </row>
    <row r="23" spans="2:27" ht="15.75" thickBot="1">
      <c r="B23" s="8"/>
      <c r="C23" s="8"/>
      <c r="D23" s="8"/>
      <c r="E23" s="8"/>
      <c r="F23" s="8"/>
      <c r="G23" s="8"/>
      <c r="H23" s="8"/>
      <c r="I23" s="8"/>
      <c r="J23" s="8"/>
    </row>
    <row r="24" spans="2:27" ht="15">
      <c r="B24" s="137" t="s">
        <v>21</v>
      </c>
      <c r="C24" s="139"/>
      <c r="D24" s="13" t="s">
        <v>48</v>
      </c>
      <c r="E24" s="13" t="s">
        <v>47</v>
      </c>
      <c r="F24" s="11" t="s">
        <v>41</v>
      </c>
      <c r="G24" s="8"/>
      <c r="H24" s="8"/>
      <c r="I24" s="8"/>
    </row>
    <row r="25" spans="2:27" ht="15">
      <c r="B25" s="116"/>
      <c r="C25" s="117"/>
      <c r="D25" s="15" t="s">
        <v>49</v>
      </c>
      <c r="E25" s="15" t="s">
        <v>39</v>
      </c>
      <c r="F25" s="14" t="s">
        <v>42</v>
      </c>
      <c r="G25" s="8"/>
      <c r="H25" s="8"/>
      <c r="I25" s="8"/>
    </row>
    <row r="26" spans="2:27" ht="15.75" thickBot="1">
      <c r="B26" s="146" t="str">
        <f>IF('Saisie des valeurs'!B26&lt;&gt;"",'Saisie des valeurs'!B26,"")</f>
        <v/>
      </c>
      <c r="C26" s="149" t="str">
        <f>IF('Saisie des valeurs'!C26&lt;&gt;"",'Saisie des valeurs'!C26,"")</f>
        <v/>
      </c>
      <c r="D26" s="64" t="str">
        <f>IF('Saisie des valeurs'!D26&lt;&gt;"",'Saisie des valeurs'!D26,"")</f>
        <v/>
      </c>
      <c r="E26" s="64" t="str">
        <f>IF('Saisie des valeurs'!E26&lt;&gt;"",'Saisie des valeurs'!E26,"")</f>
        <v/>
      </c>
      <c r="F26" s="65" t="str">
        <f>IF('Saisie des valeurs'!F26&lt;&gt;"",'Saisie des valeurs'!F26,"")</f>
        <v/>
      </c>
      <c r="G26" s="8"/>
      <c r="H26" s="8"/>
      <c r="I26" s="8"/>
    </row>
    <row r="27" spans="2:27" ht="15">
      <c r="B27" s="8"/>
      <c r="C27" s="8"/>
      <c r="D27" s="8"/>
      <c r="E27" s="8"/>
      <c r="F27" s="8"/>
      <c r="G27" s="8"/>
      <c r="H27" s="8"/>
      <c r="I27" s="8"/>
      <c r="J27" s="8"/>
    </row>
    <row r="28" spans="2:27" ht="15">
      <c r="B28" s="8"/>
      <c r="C28" s="8"/>
      <c r="D28" s="8"/>
      <c r="E28" s="8"/>
      <c r="F28" s="8"/>
      <c r="G28" s="8"/>
      <c r="H28" s="8"/>
      <c r="I28" s="8"/>
      <c r="J28" s="8"/>
    </row>
    <row r="29" spans="2:27" ht="15">
      <c r="B29" s="8"/>
      <c r="C29" s="8"/>
      <c r="D29" s="8"/>
      <c r="E29" s="8"/>
      <c r="F29" s="8"/>
      <c r="G29" s="8"/>
      <c r="H29" s="8"/>
      <c r="I29" s="8"/>
      <c r="J29" s="8"/>
    </row>
    <row r="30" spans="2:27" ht="15.75" customHeight="1">
      <c r="B30" s="17" t="s">
        <v>43</v>
      </c>
      <c r="C30" s="132" t="s">
        <v>44</v>
      </c>
      <c r="D30" s="133"/>
      <c r="E30" s="133"/>
      <c r="F30" s="134"/>
      <c r="G30" s="18" t="s">
        <v>4</v>
      </c>
      <c r="H30" s="17" t="s">
        <v>4</v>
      </c>
      <c r="I30" s="17"/>
      <c r="J30" s="17"/>
      <c r="V30" s="17"/>
      <c r="W30" s="17"/>
      <c r="X30" s="17"/>
      <c r="Y30" s="17"/>
    </row>
    <row r="31" spans="2:27" ht="15.75" customHeight="1">
      <c r="B31" s="19" t="s">
        <v>163</v>
      </c>
      <c r="C31" s="122" t="s">
        <v>164</v>
      </c>
      <c r="D31" s="123"/>
      <c r="E31" s="123"/>
      <c r="F31" s="124"/>
      <c r="G31" s="20" t="s">
        <v>5</v>
      </c>
      <c r="H31" s="19" t="s">
        <v>6</v>
      </c>
      <c r="I31" s="19" t="s">
        <v>3</v>
      </c>
      <c r="J31" s="19" t="s">
        <v>34</v>
      </c>
      <c r="V31" s="19"/>
      <c r="W31" s="19"/>
      <c r="X31" s="19"/>
      <c r="Y31" s="19"/>
    </row>
    <row r="32" spans="2:27" ht="18" customHeight="1">
      <c r="B32" s="21" t="s">
        <v>39</v>
      </c>
      <c r="C32" s="125" t="s">
        <v>39</v>
      </c>
      <c r="D32" s="126"/>
      <c r="E32" s="126"/>
      <c r="F32" s="127"/>
      <c r="G32" s="20" t="s">
        <v>7</v>
      </c>
      <c r="H32" s="19" t="s">
        <v>7</v>
      </c>
      <c r="I32" s="19" t="s">
        <v>39</v>
      </c>
      <c r="J32" s="19"/>
      <c r="V32" s="19"/>
      <c r="W32" s="19"/>
      <c r="X32" s="46"/>
      <c r="Y32" s="46"/>
    </row>
    <row r="33" spans="2:25" ht="15.75">
      <c r="B33" s="22"/>
      <c r="C33" s="22">
        <v>1</v>
      </c>
      <c r="D33" s="22">
        <v>2</v>
      </c>
      <c r="E33" s="22">
        <v>3</v>
      </c>
      <c r="F33" s="22" t="s">
        <v>8</v>
      </c>
      <c r="G33" s="71"/>
      <c r="H33" s="22"/>
      <c r="I33" s="22"/>
      <c r="J33" s="22"/>
      <c r="V33" s="21"/>
      <c r="W33" s="21"/>
      <c r="X33" s="47"/>
      <c r="Y33" s="47"/>
    </row>
    <row r="34" spans="2:25" ht="15">
      <c r="B34" s="66" t="str">
        <f>IF('Saisie des valeurs'!B34&lt;&gt;"",'Saisie des valeurs'!B34,"")</f>
        <v/>
      </c>
      <c r="C34" s="76" t="str">
        <f>IF('Saisie des valeurs'!C34&lt;&gt;"",ROUND('Saisie des valeurs'!C34,ABS(LOG10('Saisie des valeurs'!$I34))),"")</f>
        <v/>
      </c>
      <c r="D34" s="76" t="str">
        <f>IF('Saisie des valeurs'!D34&lt;&gt;"",ROUND('Saisie des valeurs'!D34,ABS(LOG10('Saisie des valeurs'!$I34))),"")</f>
        <v/>
      </c>
      <c r="E34" s="76" t="str">
        <f>IF('Saisie des valeurs'!E34&lt;&gt;"",ROUND('Saisie des valeurs'!E34,ABS(LOG10('Saisie des valeurs'!$I34))),"")</f>
        <v/>
      </c>
      <c r="F34" s="80" t="str">
        <f>IF('Saisie des valeurs'!F34&lt;&gt;"",ROUND('Saisie des valeurs'!F34,ABS(LOG10('Saisie des valeurs'!$I34))),"")</f>
        <v/>
      </c>
      <c r="G34" s="23" t="str">
        <f>IF('Saisie des valeurs'!G34&lt;&gt;"",'Saisie des valeurs'!G34,"")</f>
        <v/>
      </c>
      <c r="H34" s="24" t="str">
        <f>IF('Saisie des valeurs'!H34&lt;&gt;"",'Saisie des valeurs'!H34,"")</f>
        <v/>
      </c>
      <c r="I34" s="56" t="str">
        <f>IF('Saisie des valeurs'!I34&lt;&gt;"",'Saisie des valeurs'!I34,"")</f>
        <v/>
      </c>
      <c r="J34" s="58" t="str">
        <f>IF('Saisie des valeurs'!J34&lt;&gt;"",'Saisie des valeurs'!J34,"")</f>
        <v/>
      </c>
      <c r="V34" s="24"/>
      <c r="W34" s="24"/>
      <c r="X34" s="53"/>
      <c r="Y34" s="53"/>
    </row>
    <row r="35" spans="2:25" ht="15">
      <c r="B35" s="66" t="str">
        <f>IF('Saisie des valeurs'!B35&lt;&gt;"",'Saisie des valeurs'!B35,"")</f>
        <v/>
      </c>
      <c r="C35" s="76" t="str">
        <f>IF('Saisie des valeurs'!C35&lt;&gt;"",ROUND('Saisie des valeurs'!C35,ABS(LOG10('Saisie des valeurs'!$I35))),"")</f>
        <v/>
      </c>
      <c r="D35" s="76" t="str">
        <f>IF('Saisie des valeurs'!D35&lt;&gt;"",ROUND('Saisie des valeurs'!D35,ABS(LOG10('Saisie des valeurs'!$I35))),"")</f>
        <v/>
      </c>
      <c r="E35" s="76" t="str">
        <f>IF('Saisie des valeurs'!E35&lt;&gt;"",ROUND('Saisie des valeurs'!E35,ABS(LOG10('Saisie des valeurs'!$I35))),"")</f>
        <v/>
      </c>
      <c r="F35" s="80" t="str">
        <f>IF('Saisie des valeurs'!F35&lt;&gt;"",ROUND('Saisie des valeurs'!F35,ABS(LOG10('Saisie des valeurs'!$I35))),"")</f>
        <v/>
      </c>
      <c r="G35" s="23" t="str">
        <f>IF('Saisie des valeurs'!G35&lt;&gt;"",'Saisie des valeurs'!G35,"")</f>
        <v/>
      </c>
      <c r="H35" s="24" t="str">
        <f>IF('Saisie des valeurs'!H35&lt;&gt;"",'Saisie des valeurs'!H35,"")</f>
        <v/>
      </c>
      <c r="I35" s="56" t="str">
        <f>IF('Saisie des valeurs'!I35&lt;&gt;"",'Saisie des valeurs'!I35,"")</f>
        <v/>
      </c>
      <c r="J35" s="56" t="str">
        <f>IF('Saisie des valeurs'!J35&lt;&gt;"",'Saisie des valeurs'!J35,"")</f>
        <v/>
      </c>
      <c r="V35" s="24"/>
      <c r="W35" s="24"/>
      <c r="X35" s="54"/>
      <c r="Y35" s="54"/>
    </row>
    <row r="36" spans="2:25" ht="15">
      <c r="B36" s="66" t="str">
        <f>IF('Saisie des valeurs'!B36&lt;&gt;"",'Saisie des valeurs'!B36,"")</f>
        <v/>
      </c>
      <c r="C36" s="76" t="str">
        <f>IF('Saisie des valeurs'!C36&lt;&gt;"",ROUND('Saisie des valeurs'!C36,ABS(LOG10('Saisie des valeurs'!$I36))),"")</f>
        <v/>
      </c>
      <c r="D36" s="76" t="str">
        <f>IF('Saisie des valeurs'!D36&lt;&gt;"",ROUND('Saisie des valeurs'!D36,ABS(LOG10('Saisie des valeurs'!$I36))),"")</f>
        <v/>
      </c>
      <c r="E36" s="76" t="str">
        <f>IF('Saisie des valeurs'!E36&lt;&gt;"",ROUND('Saisie des valeurs'!E36,ABS(LOG10('Saisie des valeurs'!$I36))),"")</f>
        <v/>
      </c>
      <c r="F36" s="80" t="str">
        <f>IF('Saisie des valeurs'!F36&lt;&gt;"",ROUND('Saisie des valeurs'!F36,ABS(LOG10('Saisie des valeurs'!$I36))),"")</f>
        <v/>
      </c>
      <c r="G36" s="23" t="str">
        <f>IF('Saisie des valeurs'!G36&lt;&gt;"",'Saisie des valeurs'!G36,"")</f>
        <v/>
      </c>
      <c r="H36" s="24" t="str">
        <f>IF('Saisie des valeurs'!H36&lt;&gt;"",'Saisie des valeurs'!H36,"")</f>
        <v/>
      </c>
      <c r="I36" s="56" t="str">
        <f>IF('Saisie des valeurs'!I36&lt;&gt;"",'Saisie des valeurs'!I36,"")</f>
        <v/>
      </c>
      <c r="J36" s="56" t="str">
        <f>IF('Saisie des valeurs'!J36&lt;&gt;"",'Saisie des valeurs'!J36,"")</f>
        <v/>
      </c>
      <c r="V36" s="24"/>
      <c r="W36" s="24"/>
      <c r="X36" s="54"/>
      <c r="Y36" s="54"/>
    </row>
    <row r="37" spans="2:25" ht="15">
      <c r="B37" s="66" t="str">
        <f>IF('Saisie des valeurs'!B37&lt;&gt;"",'Saisie des valeurs'!B37,"")</f>
        <v/>
      </c>
      <c r="C37" s="76" t="str">
        <f>IF('Saisie des valeurs'!C37&lt;&gt;"",ROUND('Saisie des valeurs'!C37,ABS(LOG10('Saisie des valeurs'!$I37))),"")</f>
        <v/>
      </c>
      <c r="D37" s="76" t="str">
        <f>IF('Saisie des valeurs'!D37&lt;&gt;"",ROUND('Saisie des valeurs'!D37,ABS(LOG10('Saisie des valeurs'!$I37))),"")</f>
        <v/>
      </c>
      <c r="E37" s="76" t="str">
        <f>IF('Saisie des valeurs'!E37&lt;&gt;"",ROUND('Saisie des valeurs'!E37,ABS(LOG10('Saisie des valeurs'!$I37))),"")</f>
        <v/>
      </c>
      <c r="F37" s="80" t="str">
        <f>IF('Saisie des valeurs'!F37&lt;&gt;"",ROUND('Saisie des valeurs'!F37,ABS(LOG10('Saisie des valeurs'!$I37))),"")</f>
        <v/>
      </c>
      <c r="G37" s="23" t="str">
        <f>IF('Saisie des valeurs'!G37&lt;&gt;"",'Saisie des valeurs'!G37,"")</f>
        <v/>
      </c>
      <c r="H37" s="24" t="str">
        <f>IF('Saisie des valeurs'!H37&lt;&gt;"",'Saisie des valeurs'!H37,"")</f>
        <v/>
      </c>
      <c r="I37" s="56" t="str">
        <f>IF('Saisie des valeurs'!I37&lt;&gt;"",'Saisie des valeurs'!I37,"")</f>
        <v/>
      </c>
      <c r="J37" s="56" t="str">
        <f>IF('Saisie des valeurs'!J37&lt;&gt;"",'Saisie des valeurs'!J37,"")</f>
        <v/>
      </c>
      <c r="V37" s="24"/>
      <c r="W37" s="24"/>
      <c r="X37" s="54"/>
      <c r="Y37" s="54"/>
    </row>
    <row r="38" spans="2:25" ht="15">
      <c r="B38" s="66" t="str">
        <f>IF('Saisie des valeurs'!B38&lt;&gt;"",'Saisie des valeurs'!B38,"")</f>
        <v/>
      </c>
      <c r="C38" s="76" t="str">
        <f>IF('Saisie des valeurs'!C38&lt;&gt;"",ROUND('Saisie des valeurs'!C38,ABS(LOG10('Saisie des valeurs'!$I38))),"")</f>
        <v/>
      </c>
      <c r="D38" s="76" t="str">
        <f>IF('Saisie des valeurs'!D38&lt;&gt;"",ROUND('Saisie des valeurs'!D38,ABS(LOG10('Saisie des valeurs'!$I38))),"")</f>
        <v/>
      </c>
      <c r="E38" s="76" t="str">
        <f>IF('Saisie des valeurs'!E38&lt;&gt;"",ROUND('Saisie des valeurs'!E38,ABS(LOG10('Saisie des valeurs'!$I38))),"")</f>
        <v/>
      </c>
      <c r="F38" s="80" t="str">
        <f>IF('Saisie des valeurs'!F38&lt;&gt;"",ROUND('Saisie des valeurs'!F38,ABS(LOG10('Saisie des valeurs'!$I38))),"")</f>
        <v/>
      </c>
      <c r="G38" s="23" t="str">
        <f>IF('Saisie des valeurs'!G38&lt;&gt;"",'Saisie des valeurs'!G38,"")</f>
        <v/>
      </c>
      <c r="H38" s="24" t="str">
        <f>IF('Saisie des valeurs'!H38&lt;&gt;"",'Saisie des valeurs'!H38,"")</f>
        <v/>
      </c>
      <c r="I38" s="56" t="str">
        <f>IF('Saisie des valeurs'!I38&lt;&gt;"",'Saisie des valeurs'!I38,"")</f>
        <v/>
      </c>
      <c r="J38" s="56" t="str">
        <f>IF('Saisie des valeurs'!J38&lt;&gt;"",'Saisie des valeurs'!J38,"")</f>
        <v/>
      </c>
      <c r="V38" s="24"/>
      <c r="W38" s="24"/>
      <c r="X38" s="54"/>
      <c r="Y38" s="54"/>
    </row>
    <row r="39" spans="2:25" ht="15">
      <c r="B39" s="66" t="str">
        <f>IF('Saisie des valeurs'!B39&lt;&gt;"",'Saisie des valeurs'!B39,"")</f>
        <v/>
      </c>
      <c r="C39" s="76" t="str">
        <f>IF('Saisie des valeurs'!C39&lt;&gt;"",ROUND('Saisie des valeurs'!C39,ABS(LOG10('Saisie des valeurs'!$I39))),"")</f>
        <v/>
      </c>
      <c r="D39" s="76" t="str">
        <f>IF('Saisie des valeurs'!D39&lt;&gt;"",ROUND('Saisie des valeurs'!D39,ABS(LOG10('Saisie des valeurs'!$I39))),"")</f>
        <v/>
      </c>
      <c r="E39" s="76" t="str">
        <f>IF('Saisie des valeurs'!E39&lt;&gt;"",ROUND('Saisie des valeurs'!E39,ABS(LOG10('Saisie des valeurs'!$I39))),"")</f>
        <v/>
      </c>
      <c r="F39" s="80" t="str">
        <f>IF('Saisie des valeurs'!F39&lt;&gt;"",ROUND('Saisie des valeurs'!F39,ABS(LOG10('Saisie des valeurs'!$I39))),"")</f>
        <v/>
      </c>
      <c r="G39" s="23" t="str">
        <f>IF('Saisie des valeurs'!G39&lt;&gt;"",'Saisie des valeurs'!G39,"")</f>
        <v/>
      </c>
      <c r="H39" s="24" t="str">
        <f>IF('Saisie des valeurs'!H39&lt;&gt;"",'Saisie des valeurs'!H39,"")</f>
        <v/>
      </c>
      <c r="I39" s="56" t="str">
        <f>IF('Saisie des valeurs'!I39&lt;&gt;"",'Saisie des valeurs'!I39,"")</f>
        <v/>
      </c>
      <c r="J39" s="56" t="str">
        <f>IF('Saisie des valeurs'!J39&lt;&gt;"",'Saisie des valeurs'!J39,"")</f>
        <v/>
      </c>
      <c r="V39" s="24"/>
      <c r="W39" s="24"/>
      <c r="X39" s="54"/>
      <c r="Y39" s="54"/>
    </row>
    <row r="40" spans="2:25" ht="15">
      <c r="B40" s="66" t="str">
        <f>IF('Saisie des valeurs'!B40&lt;&gt;"",'Saisie des valeurs'!B40,"")</f>
        <v/>
      </c>
      <c r="C40" s="76" t="str">
        <f>IF('Saisie des valeurs'!C40&lt;&gt;"",ROUND('Saisie des valeurs'!C40,ABS(LOG10('Saisie des valeurs'!$I40))),"")</f>
        <v/>
      </c>
      <c r="D40" s="76" t="str">
        <f>IF('Saisie des valeurs'!D40&lt;&gt;"",ROUND('Saisie des valeurs'!D40,ABS(LOG10('Saisie des valeurs'!$I40))),"")</f>
        <v/>
      </c>
      <c r="E40" s="76" t="str">
        <f>IF('Saisie des valeurs'!E40&lt;&gt;"",ROUND('Saisie des valeurs'!E40,ABS(LOG10('Saisie des valeurs'!$I40))),"")</f>
        <v/>
      </c>
      <c r="F40" s="80" t="str">
        <f>IF('Saisie des valeurs'!F40&lt;&gt;"",ROUND('Saisie des valeurs'!F40,ABS(LOG10('Saisie des valeurs'!$I40))),"")</f>
        <v/>
      </c>
      <c r="G40" s="23" t="str">
        <f>IF('Saisie des valeurs'!G40&lt;&gt;"",'Saisie des valeurs'!G40,"")</f>
        <v/>
      </c>
      <c r="H40" s="24" t="str">
        <f>IF('Saisie des valeurs'!H40&lt;&gt;"",'Saisie des valeurs'!H40,"")</f>
        <v/>
      </c>
      <c r="I40" s="56" t="str">
        <f>IF('Saisie des valeurs'!I40&lt;&gt;"",'Saisie des valeurs'!I40,"")</f>
        <v/>
      </c>
      <c r="J40" s="56" t="str">
        <f>IF('Saisie des valeurs'!J40&lt;&gt;"",'Saisie des valeurs'!J40,"")</f>
        <v/>
      </c>
      <c r="V40" s="24"/>
      <c r="W40" s="24"/>
      <c r="X40" s="54"/>
      <c r="Y40" s="54"/>
    </row>
    <row r="41" spans="2:25" ht="15">
      <c r="B41" s="66" t="str">
        <f>IF('Saisie des valeurs'!B41&lt;&gt;"",'Saisie des valeurs'!B41,"")</f>
        <v/>
      </c>
      <c r="C41" s="76" t="str">
        <f>IF('Saisie des valeurs'!C41&lt;&gt;"",ROUND('Saisie des valeurs'!C41,ABS(LOG10('Saisie des valeurs'!$I41))),"")</f>
        <v/>
      </c>
      <c r="D41" s="76" t="str">
        <f>IF('Saisie des valeurs'!D41&lt;&gt;"",ROUND('Saisie des valeurs'!D41,ABS(LOG10('Saisie des valeurs'!$I41))),"")</f>
        <v/>
      </c>
      <c r="E41" s="76" t="str">
        <f>IF('Saisie des valeurs'!E41&lt;&gt;"",ROUND('Saisie des valeurs'!E41,ABS(LOG10('Saisie des valeurs'!$I41))),"")</f>
        <v/>
      </c>
      <c r="F41" s="80" t="str">
        <f>IF('Saisie des valeurs'!F41&lt;&gt;"",ROUND('Saisie des valeurs'!F41,ABS(LOG10('Saisie des valeurs'!$I41))),"")</f>
        <v/>
      </c>
      <c r="G41" s="23" t="str">
        <f>IF('Saisie des valeurs'!G41&lt;&gt;"",'Saisie des valeurs'!G41,"")</f>
        <v/>
      </c>
      <c r="H41" s="24" t="str">
        <f>IF('Saisie des valeurs'!H41&lt;&gt;"",'Saisie des valeurs'!H41,"")</f>
        <v/>
      </c>
      <c r="I41" s="56" t="str">
        <f>IF('Saisie des valeurs'!I41&lt;&gt;"",'Saisie des valeurs'!I41,"")</f>
        <v/>
      </c>
      <c r="J41" s="56" t="str">
        <f>IF('Saisie des valeurs'!J41&lt;&gt;"",'Saisie des valeurs'!J41,"")</f>
        <v/>
      </c>
      <c r="V41" s="24"/>
      <c r="W41" s="24"/>
      <c r="X41" s="54"/>
      <c r="Y41" s="54"/>
    </row>
    <row r="42" spans="2:25" ht="15">
      <c r="B42" s="66" t="str">
        <f>IF('Saisie des valeurs'!B42&lt;&gt;"",'Saisie des valeurs'!B42,"")</f>
        <v/>
      </c>
      <c r="C42" s="76" t="str">
        <f>IF('Saisie des valeurs'!C42&lt;&gt;"",ROUND('Saisie des valeurs'!C42,ABS(LOG10('Saisie des valeurs'!$I42))),"")</f>
        <v/>
      </c>
      <c r="D42" s="76" t="str">
        <f>IF('Saisie des valeurs'!D42&lt;&gt;"",ROUND('Saisie des valeurs'!D42,ABS(LOG10('Saisie des valeurs'!$I42))),"")</f>
        <v/>
      </c>
      <c r="E42" s="76" t="str">
        <f>IF('Saisie des valeurs'!E42&lt;&gt;"",ROUND('Saisie des valeurs'!E42,ABS(LOG10('Saisie des valeurs'!$I42))),"")</f>
        <v/>
      </c>
      <c r="F42" s="80" t="str">
        <f>IF('Saisie des valeurs'!F42&lt;&gt;"",ROUND('Saisie des valeurs'!F42,ABS(LOG10('Saisie des valeurs'!$I42))),"")</f>
        <v/>
      </c>
      <c r="G42" s="23" t="str">
        <f>IF('Saisie des valeurs'!G42&lt;&gt;"",'Saisie des valeurs'!G42,"")</f>
        <v/>
      </c>
      <c r="H42" s="24" t="str">
        <f>IF('Saisie des valeurs'!H42&lt;&gt;"",'Saisie des valeurs'!H42,"")</f>
        <v/>
      </c>
      <c r="I42" s="56" t="str">
        <f>IF('Saisie des valeurs'!I42&lt;&gt;"",'Saisie des valeurs'!I42,"")</f>
        <v/>
      </c>
      <c r="J42" s="56" t="str">
        <f>IF('Saisie des valeurs'!J42&lt;&gt;"",'Saisie des valeurs'!J42,"")</f>
        <v/>
      </c>
      <c r="V42" s="24"/>
      <c r="W42" s="24"/>
      <c r="X42" s="54"/>
      <c r="Y42" s="54"/>
    </row>
    <row r="43" spans="2:25" ht="15">
      <c r="B43" s="66" t="str">
        <f>IF('Saisie des valeurs'!B43&lt;&gt;"",'Saisie des valeurs'!B43,"")</f>
        <v/>
      </c>
      <c r="C43" s="76" t="str">
        <f>IF('Saisie des valeurs'!C43&lt;&gt;"",ROUND('Saisie des valeurs'!C43,ABS(LOG10('Saisie des valeurs'!$I43))),"")</f>
        <v/>
      </c>
      <c r="D43" s="76" t="str">
        <f>IF('Saisie des valeurs'!D43&lt;&gt;"",ROUND('Saisie des valeurs'!D43,ABS(LOG10('Saisie des valeurs'!$I43))),"")</f>
        <v/>
      </c>
      <c r="E43" s="76" t="str">
        <f>IF('Saisie des valeurs'!E43&lt;&gt;"",ROUND('Saisie des valeurs'!E43,ABS(LOG10('Saisie des valeurs'!$I43))),"")</f>
        <v/>
      </c>
      <c r="F43" s="80" t="str">
        <f>IF('Saisie des valeurs'!F43&lt;&gt;"",ROUND('Saisie des valeurs'!F43,ABS(LOG10('Saisie des valeurs'!$I43))),"")</f>
        <v/>
      </c>
      <c r="G43" s="23" t="str">
        <f>IF('Saisie des valeurs'!G43&lt;&gt;"",'Saisie des valeurs'!G43,"")</f>
        <v/>
      </c>
      <c r="H43" s="24" t="str">
        <f>IF('Saisie des valeurs'!H43&lt;&gt;"",'Saisie des valeurs'!H43,"")</f>
        <v/>
      </c>
      <c r="I43" s="56" t="str">
        <f>IF('Saisie des valeurs'!I43&lt;&gt;"",'Saisie des valeurs'!I43,"")</f>
        <v/>
      </c>
      <c r="J43" s="56" t="str">
        <f>IF('Saisie des valeurs'!J43&lt;&gt;"",'Saisie des valeurs'!J43,"")</f>
        <v/>
      </c>
      <c r="V43" s="24"/>
      <c r="W43" s="24"/>
      <c r="X43" s="54"/>
      <c r="Y43" s="54"/>
    </row>
    <row r="44" spans="2:25" ht="15">
      <c r="B44" s="66" t="str">
        <f>IF('Saisie des valeurs'!B44&lt;&gt;"",'Saisie des valeurs'!B44,"")</f>
        <v/>
      </c>
      <c r="C44" s="76" t="str">
        <f>IF('Saisie des valeurs'!C44&lt;&gt;"",ROUND('Saisie des valeurs'!C44,ABS(LOG10('Saisie des valeurs'!$I44))),"")</f>
        <v/>
      </c>
      <c r="D44" s="76" t="str">
        <f>IF('Saisie des valeurs'!D44&lt;&gt;"",ROUND('Saisie des valeurs'!D44,ABS(LOG10('Saisie des valeurs'!$I44))),"")</f>
        <v/>
      </c>
      <c r="E44" s="76" t="str">
        <f>IF('Saisie des valeurs'!E44&lt;&gt;"",ROUND('Saisie des valeurs'!E44,ABS(LOG10('Saisie des valeurs'!$I44))),"")</f>
        <v/>
      </c>
      <c r="F44" s="80" t="str">
        <f>IF('Saisie des valeurs'!F44&lt;&gt;"",ROUND('Saisie des valeurs'!F44,ABS(LOG10('Saisie des valeurs'!$I44))),"")</f>
        <v/>
      </c>
      <c r="G44" s="23" t="str">
        <f>IF('Saisie des valeurs'!G44&lt;&gt;"",'Saisie des valeurs'!G44,"")</f>
        <v/>
      </c>
      <c r="H44" s="24" t="str">
        <f>IF('Saisie des valeurs'!H44&lt;&gt;"",'Saisie des valeurs'!H44,"")</f>
        <v/>
      </c>
      <c r="I44" s="56" t="str">
        <f>IF('Saisie des valeurs'!I44&lt;&gt;"",'Saisie des valeurs'!I44,"")</f>
        <v/>
      </c>
      <c r="J44" s="56" t="str">
        <f>IF('Saisie des valeurs'!J44&lt;&gt;"",'Saisie des valeurs'!J44,"")</f>
        <v/>
      </c>
      <c r="V44" s="24"/>
      <c r="W44" s="24"/>
      <c r="X44" s="54"/>
      <c r="Y44" s="54"/>
    </row>
    <row r="45" spans="2:25" ht="15">
      <c r="B45" s="66" t="str">
        <f>IF('Saisie des valeurs'!B45&lt;&gt;"",'Saisie des valeurs'!B45,"")</f>
        <v/>
      </c>
      <c r="C45" s="76" t="str">
        <f>IF('Saisie des valeurs'!C45&lt;&gt;"",ROUND('Saisie des valeurs'!C45,ABS(LOG10('Saisie des valeurs'!$I45))),"")</f>
        <v/>
      </c>
      <c r="D45" s="76" t="str">
        <f>IF('Saisie des valeurs'!D45&lt;&gt;"",ROUND('Saisie des valeurs'!D45,ABS(LOG10('Saisie des valeurs'!$I45))),"")</f>
        <v/>
      </c>
      <c r="E45" s="76" t="str">
        <f>IF('Saisie des valeurs'!E45&lt;&gt;"",ROUND('Saisie des valeurs'!E45,ABS(LOG10('Saisie des valeurs'!$I45))),"")</f>
        <v/>
      </c>
      <c r="F45" s="80" t="str">
        <f>IF('Saisie des valeurs'!F45&lt;&gt;"",ROUND('Saisie des valeurs'!F45,ABS(LOG10('Saisie des valeurs'!$I45))),"")</f>
        <v/>
      </c>
      <c r="G45" s="23" t="str">
        <f>IF('Saisie des valeurs'!G45&lt;&gt;"",'Saisie des valeurs'!G45,"")</f>
        <v/>
      </c>
      <c r="H45" s="24" t="str">
        <f>IF('Saisie des valeurs'!H45&lt;&gt;"",'Saisie des valeurs'!H45,"")</f>
        <v/>
      </c>
      <c r="I45" s="56" t="str">
        <f>IF('Saisie des valeurs'!I45&lt;&gt;"",'Saisie des valeurs'!I45,"")</f>
        <v/>
      </c>
      <c r="J45" s="56" t="str">
        <f>IF('Saisie des valeurs'!J45&lt;&gt;"",'Saisie des valeurs'!J45,"")</f>
        <v/>
      </c>
      <c r="V45" s="24"/>
      <c r="W45" s="24"/>
      <c r="X45" s="54"/>
      <c r="Y45" s="54"/>
    </row>
    <row r="46" spans="2:25" ht="15">
      <c r="B46" s="66" t="str">
        <f>IF('Saisie des valeurs'!B46&lt;&gt;"",'Saisie des valeurs'!B46,"")</f>
        <v/>
      </c>
      <c r="C46" s="76" t="str">
        <f>IF('Saisie des valeurs'!C46&lt;&gt;"",ROUND('Saisie des valeurs'!C46,ABS(LOG10('Saisie des valeurs'!$I46))),"")</f>
        <v/>
      </c>
      <c r="D46" s="76" t="str">
        <f>IF('Saisie des valeurs'!D46&lt;&gt;"",ROUND('Saisie des valeurs'!D46,ABS(LOG10('Saisie des valeurs'!$I46))),"")</f>
        <v/>
      </c>
      <c r="E46" s="76" t="str">
        <f>IF('Saisie des valeurs'!E46&lt;&gt;"",ROUND('Saisie des valeurs'!E46,ABS(LOG10('Saisie des valeurs'!$I46))),"")</f>
        <v/>
      </c>
      <c r="F46" s="80" t="str">
        <f>IF('Saisie des valeurs'!F46&lt;&gt;"",ROUND('Saisie des valeurs'!F46,ABS(LOG10('Saisie des valeurs'!$I46))),"")</f>
        <v/>
      </c>
      <c r="G46" s="23" t="str">
        <f>IF('Saisie des valeurs'!G46&lt;&gt;"",'Saisie des valeurs'!G46,"")</f>
        <v/>
      </c>
      <c r="H46" s="24" t="str">
        <f>IF('Saisie des valeurs'!H46&lt;&gt;"",'Saisie des valeurs'!H46,"")</f>
        <v/>
      </c>
      <c r="I46" s="56" t="str">
        <f>IF('Saisie des valeurs'!I46&lt;&gt;"",'Saisie des valeurs'!I46,"")</f>
        <v/>
      </c>
      <c r="J46" s="56" t="str">
        <f>IF('Saisie des valeurs'!J46&lt;&gt;"",'Saisie des valeurs'!J46,"")</f>
        <v/>
      </c>
      <c r="V46" s="24"/>
      <c r="W46" s="24"/>
      <c r="X46" s="54"/>
      <c r="Y46" s="54"/>
    </row>
    <row r="47" spans="2:25" ht="15">
      <c r="B47" s="66" t="str">
        <f>IF('Saisie des valeurs'!B47&lt;&gt;"",'Saisie des valeurs'!B47,"")</f>
        <v/>
      </c>
      <c r="C47" s="76" t="str">
        <f>IF('Saisie des valeurs'!C47&lt;&gt;"",ROUND('Saisie des valeurs'!C47,ABS(LOG10('Saisie des valeurs'!$I47))),"")</f>
        <v/>
      </c>
      <c r="D47" s="76" t="str">
        <f>IF('Saisie des valeurs'!D47&lt;&gt;"",ROUND('Saisie des valeurs'!D47,ABS(LOG10('Saisie des valeurs'!$I47))),"")</f>
        <v/>
      </c>
      <c r="E47" s="76" t="str">
        <f>IF('Saisie des valeurs'!E47&lt;&gt;"",ROUND('Saisie des valeurs'!E47,ABS(LOG10('Saisie des valeurs'!$I47))),"")</f>
        <v/>
      </c>
      <c r="F47" s="80" t="str">
        <f>IF('Saisie des valeurs'!F47&lt;&gt;"",ROUND('Saisie des valeurs'!F47,ABS(LOG10('Saisie des valeurs'!$I47))),"")</f>
        <v/>
      </c>
      <c r="G47" s="23" t="str">
        <f>IF('Saisie des valeurs'!G47&lt;&gt;"",'Saisie des valeurs'!G47,"")</f>
        <v/>
      </c>
      <c r="H47" s="24" t="str">
        <f>IF('Saisie des valeurs'!H47&lt;&gt;"",'Saisie des valeurs'!H47,"")</f>
        <v/>
      </c>
      <c r="I47" s="56" t="str">
        <f>IF('Saisie des valeurs'!I47&lt;&gt;"",'Saisie des valeurs'!I47,"")</f>
        <v/>
      </c>
      <c r="J47" s="56" t="str">
        <f>IF('Saisie des valeurs'!J47&lt;&gt;"",'Saisie des valeurs'!J47,"")</f>
        <v/>
      </c>
      <c r="K47" s="2"/>
      <c r="V47" s="24"/>
      <c r="W47" s="24"/>
      <c r="X47" s="54"/>
      <c r="Y47" s="54"/>
    </row>
    <row r="48" spans="2:25" ht="15">
      <c r="B48" s="66" t="str">
        <f>IF('Saisie des valeurs'!B48&lt;&gt;"",'Saisie des valeurs'!B48,"")</f>
        <v/>
      </c>
      <c r="C48" s="76" t="str">
        <f>IF('Saisie des valeurs'!C48&lt;&gt;"",ROUND('Saisie des valeurs'!C48,ABS(LOG10('Saisie des valeurs'!$I48))),"")</f>
        <v/>
      </c>
      <c r="D48" s="76" t="str">
        <f>IF('Saisie des valeurs'!D48&lt;&gt;"",ROUND('Saisie des valeurs'!D48,ABS(LOG10('Saisie des valeurs'!$I48))),"")</f>
        <v/>
      </c>
      <c r="E48" s="76" t="str">
        <f>IF('Saisie des valeurs'!E48&lt;&gt;"",ROUND('Saisie des valeurs'!E48,ABS(LOG10('Saisie des valeurs'!$I48))),"")</f>
        <v/>
      </c>
      <c r="F48" s="80" t="str">
        <f>IF('Saisie des valeurs'!F48&lt;&gt;"",ROUND('Saisie des valeurs'!F48,ABS(LOG10('Saisie des valeurs'!$I48))),"")</f>
        <v/>
      </c>
      <c r="G48" s="23" t="str">
        <f>IF('Saisie des valeurs'!G48&lt;&gt;"",'Saisie des valeurs'!G48,"")</f>
        <v/>
      </c>
      <c r="H48" s="24" t="str">
        <f>IF('Saisie des valeurs'!H48&lt;&gt;"",'Saisie des valeurs'!H48,"")</f>
        <v/>
      </c>
      <c r="I48" s="56" t="str">
        <f>IF('Saisie des valeurs'!I48&lt;&gt;"",'Saisie des valeurs'!I48,"")</f>
        <v/>
      </c>
      <c r="J48" s="56" t="str">
        <f>IF('Saisie des valeurs'!J48&lt;&gt;"",'Saisie des valeurs'!J48,"")</f>
        <v/>
      </c>
      <c r="K48" s="2"/>
      <c r="V48" s="24"/>
      <c r="W48" s="24"/>
      <c r="X48" s="54"/>
      <c r="Y48" s="54"/>
    </row>
    <row r="49" spans="2:25" ht="15">
      <c r="B49" s="66" t="str">
        <f>IF('Saisie des valeurs'!B49&lt;&gt;"",'Saisie des valeurs'!B49,"")</f>
        <v/>
      </c>
      <c r="C49" s="76" t="str">
        <f>IF('Saisie des valeurs'!C49&lt;&gt;"",ROUND('Saisie des valeurs'!C49,ABS(LOG10('Saisie des valeurs'!$I49))),"")</f>
        <v/>
      </c>
      <c r="D49" s="76" t="str">
        <f>IF('Saisie des valeurs'!D49&lt;&gt;"",ROUND('Saisie des valeurs'!D49,ABS(LOG10('Saisie des valeurs'!$I49))),"")</f>
        <v/>
      </c>
      <c r="E49" s="76" t="str">
        <f>IF('Saisie des valeurs'!E49&lt;&gt;"",ROUND('Saisie des valeurs'!E49,ABS(LOG10('Saisie des valeurs'!$I49))),"")</f>
        <v/>
      </c>
      <c r="F49" s="80" t="str">
        <f>IF('Saisie des valeurs'!F49&lt;&gt;"",ROUND('Saisie des valeurs'!F49,ABS(LOG10('Saisie des valeurs'!$I49))),"")</f>
        <v/>
      </c>
      <c r="G49" s="23" t="str">
        <f>IF('Saisie des valeurs'!G49&lt;&gt;"",'Saisie des valeurs'!G49,"")</f>
        <v/>
      </c>
      <c r="H49" s="24" t="str">
        <f>IF('Saisie des valeurs'!H49&lt;&gt;"",'Saisie des valeurs'!H49,"")</f>
        <v/>
      </c>
      <c r="I49" s="56" t="str">
        <f>IF('Saisie des valeurs'!I49&lt;&gt;"",'Saisie des valeurs'!I49,"")</f>
        <v/>
      </c>
      <c r="J49" s="56" t="str">
        <f>IF('Saisie des valeurs'!J49&lt;&gt;"",'Saisie des valeurs'!J49,"")</f>
        <v/>
      </c>
      <c r="K49" s="2"/>
      <c r="V49" s="24"/>
      <c r="W49" s="24"/>
      <c r="X49" s="54"/>
      <c r="Y49" s="54"/>
    </row>
    <row r="50" spans="2:25" ht="15">
      <c r="B50" s="66" t="str">
        <f>IF('Saisie des valeurs'!B50&lt;&gt;"",'Saisie des valeurs'!B50,"")</f>
        <v/>
      </c>
      <c r="C50" s="76" t="str">
        <f>IF('Saisie des valeurs'!C50&lt;&gt;"",ROUND('Saisie des valeurs'!C50,ABS(LOG10('Saisie des valeurs'!$I50))),"")</f>
        <v/>
      </c>
      <c r="D50" s="76" t="str">
        <f>IF('Saisie des valeurs'!D50&lt;&gt;"",ROUND('Saisie des valeurs'!D50,ABS(LOG10('Saisie des valeurs'!$I50))),"")</f>
        <v/>
      </c>
      <c r="E50" s="76" t="str">
        <f>IF('Saisie des valeurs'!E50&lt;&gt;"",ROUND('Saisie des valeurs'!E50,ABS(LOG10('Saisie des valeurs'!$I50))),"")</f>
        <v/>
      </c>
      <c r="F50" s="80" t="str">
        <f>IF('Saisie des valeurs'!F50&lt;&gt;"",ROUND('Saisie des valeurs'!F50,ABS(LOG10('Saisie des valeurs'!$I50))),"")</f>
        <v/>
      </c>
      <c r="G50" s="23" t="str">
        <f>IF('Saisie des valeurs'!G50&lt;&gt;"",'Saisie des valeurs'!G50,"")</f>
        <v/>
      </c>
      <c r="H50" s="24" t="str">
        <f>IF('Saisie des valeurs'!H50&lt;&gt;"",'Saisie des valeurs'!H50,"")</f>
        <v/>
      </c>
      <c r="I50" s="56" t="str">
        <f>IF('Saisie des valeurs'!I50&lt;&gt;"",'Saisie des valeurs'!I50,"")</f>
        <v/>
      </c>
      <c r="J50" s="56" t="str">
        <f>IF('Saisie des valeurs'!J50&lt;&gt;"",'Saisie des valeurs'!J50,"")</f>
        <v/>
      </c>
      <c r="K50" s="2"/>
      <c r="V50" s="24"/>
      <c r="W50" s="24"/>
      <c r="X50" s="54"/>
      <c r="Y50" s="54"/>
    </row>
    <row r="51" spans="2:25" ht="15">
      <c r="B51" s="66" t="str">
        <f>IF('Saisie des valeurs'!B51&lt;&gt;"",'Saisie des valeurs'!B51,"")</f>
        <v/>
      </c>
      <c r="C51" s="76" t="str">
        <f>IF('Saisie des valeurs'!C51&lt;&gt;"",ROUND('Saisie des valeurs'!C51,ABS(LOG10('Saisie des valeurs'!$I51))),"")</f>
        <v/>
      </c>
      <c r="D51" s="76" t="str">
        <f>IF('Saisie des valeurs'!D51&lt;&gt;"",ROUND('Saisie des valeurs'!D51,ABS(LOG10('Saisie des valeurs'!$I51))),"")</f>
        <v/>
      </c>
      <c r="E51" s="76" t="str">
        <f>IF('Saisie des valeurs'!E51&lt;&gt;"",ROUND('Saisie des valeurs'!E51,ABS(LOG10('Saisie des valeurs'!$I51))),"")</f>
        <v/>
      </c>
      <c r="F51" s="80" t="str">
        <f>IF('Saisie des valeurs'!F51&lt;&gt;"",ROUND('Saisie des valeurs'!F51,ABS(LOG10('Saisie des valeurs'!$I51))),"")</f>
        <v/>
      </c>
      <c r="G51" s="23" t="str">
        <f>IF('Saisie des valeurs'!G51&lt;&gt;"",'Saisie des valeurs'!G51,"")</f>
        <v/>
      </c>
      <c r="H51" s="24" t="str">
        <f>IF('Saisie des valeurs'!H51&lt;&gt;"",'Saisie des valeurs'!H51,"")</f>
        <v/>
      </c>
      <c r="I51" s="56" t="str">
        <f>IF('Saisie des valeurs'!I51&lt;&gt;"",'Saisie des valeurs'!I51,"")</f>
        <v/>
      </c>
      <c r="J51" s="56" t="str">
        <f>IF('Saisie des valeurs'!J51&lt;&gt;"",'Saisie des valeurs'!J51,"")</f>
        <v/>
      </c>
      <c r="K51" s="2"/>
      <c r="V51" s="24"/>
      <c r="W51" s="24"/>
      <c r="X51" s="54"/>
      <c r="Y51" s="54"/>
    </row>
    <row r="52" spans="2:25" ht="15">
      <c r="B52" s="66" t="str">
        <f>IF('Saisie des valeurs'!B52&lt;&gt;"",'Saisie des valeurs'!B52,"")</f>
        <v/>
      </c>
      <c r="C52" s="76" t="str">
        <f>IF('Saisie des valeurs'!C52&lt;&gt;"",ROUND('Saisie des valeurs'!C52,ABS(LOG10('Saisie des valeurs'!$I52))),"")</f>
        <v/>
      </c>
      <c r="D52" s="76" t="str">
        <f>IF('Saisie des valeurs'!D52&lt;&gt;"",ROUND('Saisie des valeurs'!D52,ABS(LOG10('Saisie des valeurs'!$I52))),"")</f>
        <v/>
      </c>
      <c r="E52" s="76" t="str">
        <f>IF('Saisie des valeurs'!E52&lt;&gt;"",ROUND('Saisie des valeurs'!E52,ABS(LOG10('Saisie des valeurs'!$I52))),"")</f>
        <v/>
      </c>
      <c r="F52" s="80" t="str">
        <f>IF('Saisie des valeurs'!F52&lt;&gt;"",ROUND('Saisie des valeurs'!F52,ABS(LOG10('Saisie des valeurs'!$I52))),"")</f>
        <v/>
      </c>
      <c r="G52" s="23" t="str">
        <f>IF('Saisie des valeurs'!G52&lt;&gt;"",'Saisie des valeurs'!G52,"")</f>
        <v/>
      </c>
      <c r="H52" s="24" t="str">
        <f>IF('Saisie des valeurs'!H52&lt;&gt;"",'Saisie des valeurs'!H52,"")</f>
        <v/>
      </c>
      <c r="I52" s="56" t="str">
        <f>IF('Saisie des valeurs'!I52&lt;&gt;"",'Saisie des valeurs'!I52,"")</f>
        <v/>
      </c>
      <c r="J52" s="56" t="str">
        <f>IF('Saisie des valeurs'!J52&lt;&gt;"",'Saisie des valeurs'!J52,"")</f>
        <v/>
      </c>
      <c r="K52" s="2"/>
      <c r="V52" s="24"/>
      <c r="W52" s="24"/>
      <c r="X52" s="54"/>
      <c r="Y52" s="54"/>
    </row>
    <row r="53" spans="2:25" ht="15">
      <c r="B53" s="67" t="str">
        <f>IF('Saisie des valeurs'!B53&lt;&gt;"",'Saisie des valeurs'!B53,"")</f>
        <v/>
      </c>
      <c r="C53" s="77" t="str">
        <f>IF('Saisie des valeurs'!C53&lt;&gt;"",ROUND('Saisie des valeurs'!C53,ABS(LOG10('Saisie des valeurs'!$I53))),"")</f>
        <v/>
      </c>
      <c r="D53" s="77" t="str">
        <f>IF('Saisie des valeurs'!D53&lt;&gt;"",ROUND('Saisie des valeurs'!D53,ABS(LOG10('Saisie des valeurs'!$I53))),"")</f>
        <v/>
      </c>
      <c r="E53" s="77" t="str">
        <f>IF('Saisie des valeurs'!E53&lt;&gt;"",ROUND('Saisie des valeurs'!E53,ABS(LOG10('Saisie des valeurs'!$I53))),"")</f>
        <v/>
      </c>
      <c r="F53" s="57" t="str">
        <f>IF('Saisie des valeurs'!F53&lt;&gt;"",ROUND('Saisie des valeurs'!F53,ABS(LOG10('Saisie des valeurs'!$I53))),"")</f>
        <v/>
      </c>
      <c r="G53" s="25" t="str">
        <f>IF('Saisie des valeurs'!G53&lt;&gt;"",'Saisie des valeurs'!G53,"")</f>
        <v/>
      </c>
      <c r="H53" s="25" t="str">
        <f>IF('Saisie des valeurs'!H53&lt;&gt;"",'Saisie des valeurs'!H53,"")</f>
        <v/>
      </c>
      <c r="I53" s="57" t="str">
        <f>IF('Saisie des valeurs'!I53&lt;&gt;"",'Saisie des valeurs'!I53,"")</f>
        <v/>
      </c>
      <c r="J53" s="57" t="str">
        <f>IF('Saisie des valeurs'!J53&lt;&gt;"",'Saisie des valeurs'!J53,"")</f>
        <v/>
      </c>
      <c r="K53" s="2"/>
      <c r="V53" s="25"/>
      <c r="W53" s="25"/>
      <c r="X53" s="55"/>
      <c r="Y53" s="55"/>
    </row>
    <row r="54" spans="2:25" ht="15">
      <c r="C54" s="8"/>
      <c r="D54" s="8"/>
      <c r="E54" s="8"/>
      <c r="F54" s="8"/>
      <c r="G54" s="8"/>
      <c r="H54" s="8"/>
      <c r="I54" s="8"/>
    </row>
    <row r="55" spans="2:25" ht="15.75">
      <c r="C55" s="2"/>
      <c r="D55" s="26"/>
      <c r="E55" s="27"/>
    </row>
    <row r="56" spans="2:25" ht="20.25">
      <c r="C56" s="2"/>
      <c r="D56" s="26"/>
      <c r="E56" s="27"/>
      <c r="F56" s="118" t="s">
        <v>72</v>
      </c>
      <c r="G56" s="118"/>
      <c r="H56" s="118"/>
      <c r="I56" s="118"/>
      <c r="J56" s="59" t="str">
        <f>IF('Saisie des valeurs'!J56&lt;&gt;"",'Saisie des valeurs'!J56,"")</f>
        <v/>
      </c>
    </row>
    <row r="57" spans="2:25" ht="15">
      <c r="C57" s="8"/>
      <c r="D57" s="8"/>
      <c r="E57" s="8"/>
    </row>
    <row r="58" spans="2:25" ht="15">
      <c r="D58" s="28" t="s">
        <v>19</v>
      </c>
      <c r="E58" s="30"/>
      <c r="F58" s="8"/>
      <c r="G58" s="28" t="s">
        <v>9</v>
      </c>
      <c r="H58" s="29"/>
      <c r="I58" s="29"/>
      <c r="J58" s="30"/>
    </row>
    <row r="59" spans="2:25" ht="15">
      <c r="D59" s="33"/>
      <c r="E59" s="32"/>
      <c r="F59" s="8"/>
      <c r="G59" s="143" t="str">
        <f>IF('Saisie des valeurs'!G59&lt;&gt;"",'Saisie des valeurs'!G59,"")</f>
        <v/>
      </c>
      <c r="H59" s="144" t="str">
        <f>IF('Saisie des valeurs'!H59&lt;&gt;"",'Saisie des valeurs'!H59,"")</f>
        <v/>
      </c>
      <c r="I59" s="144" t="str">
        <f>IF('Saisie des valeurs'!I59&lt;&gt;"",'Saisie des valeurs'!I59,"")</f>
        <v/>
      </c>
      <c r="J59" s="145" t="str">
        <f>IF('Saisie des valeurs'!J59&lt;&gt;"",'Saisie des valeurs'!J59,"")</f>
        <v/>
      </c>
    </row>
    <row r="60" spans="2:25" ht="15">
      <c r="D60" s="36"/>
      <c r="E60" s="32"/>
      <c r="F60" s="8"/>
      <c r="G60" s="143" t="str">
        <f>IF('Saisie des valeurs'!G60&lt;&gt;"",'Saisie des valeurs'!G60,"")</f>
        <v/>
      </c>
      <c r="H60" s="144" t="str">
        <f>IF('Saisie des valeurs'!H60&lt;&gt;"",'Saisie des valeurs'!H60,"")</f>
        <v/>
      </c>
      <c r="I60" s="144" t="str">
        <f>IF('Saisie des valeurs'!I60&lt;&gt;"",'Saisie des valeurs'!I60,"")</f>
        <v/>
      </c>
      <c r="J60" s="145" t="str">
        <f>IF('Saisie des valeurs'!J60&lt;&gt;"",'Saisie des valeurs'!J60,"")</f>
        <v/>
      </c>
    </row>
    <row r="61" spans="2:25" ht="15">
      <c r="D61" s="31"/>
      <c r="E61" s="32"/>
      <c r="F61" s="8"/>
      <c r="G61" s="143" t="str">
        <f>IF('Saisie des valeurs'!G61&lt;&gt;"",'Saisie des valeurs'!G61,"")</f>
        <v/>
      </c>
      <c r="H61" s="144" t="str">
        <f>IF('Saisie des valeurs'!H61&lt;&gt;"",'Saisie des valeurs'!H61,"")</f>
        <v/>
      </c>
      <c r="I61" s="144" t="str">
        <f>IF('Saisie des valeurs'!I61&lt;&gt;"",'Saisie des valeurs'!I61,"")</f>
        <v/>
      </c>
      <c r="J61" s="145" t="str">
        <f>IF('Saisie des valeurs'!J61&lt;&gt;"",'Saisie des valeurs'!J61,"")</f>
        <v/>
      </c>
    </row>
    <row r="62" spans="2:25" ht="15">
      <c r="D62" s="34"/>
      <c r="E62" s="35"/>
      <c r="F62" s="8"/>
      <c r="G62" s="151" t="str">
        <f>IF('Saisie des valeurs'!G62&lt;&gt;"",'Saisie des valeurs'!G62,"")</f>
        <v/>
      </c>
      <c r="H62" s="152" t="str">
        <f>IF('Saisie des valeurs'!H62&lt;&gt;"",'Saisie des valeurs'!H62,"")</f>
        <v/>
      </c>
      <c r="I62" s="152" t="str">
        <f>IF('Saisie des valeurs'!I62&lt;&gt;"",'Saisie des valeurs'!I62,"")</f>
        <v/>
      </c>
      <c r="J62" s="153" t="str">
        <f>IF('Saisie des valeurs'!J62&lt;&gt;"",'Saisie des valeurs'!J62,"")</f>
        <v/>
      </c>
    </row>
    <row r="63" spans="2:25" ht="15">
      <c r="C63" s="2"/>
      <c r="D63" s="2"/>
      <c r="E63" s="8"/>
      <c r="F63" s="8"/>
      <c r="G63" s="8"/>
      <c r="H63" s="8"/>
      <c r="I63" s="8"/>
    </row>
    <row r="64" spans="2:25" ht="15">
      <c r="C64" s="2"/>
      <c r="D64" s="2"/>
      <c r="E64" s="2"/>
      <c r="F64" s="2"/>
      <c r="G64" s="2"/>
      <c r="H64" s="2"/>
      <c r="I64" s="8"/>
    </row>
    <row r="65" spans="2:10">
      <c r="B65" s="112"/>
      <c r="C65" s="112"/>
      <c r="D65" s="112"/>
      <c r="E65" s="112"/>
      <c r="F65" s="112"/>
      <c r="G65" s="112"/>
      <c r="H65" s="112"/>
      <c r="I65" s="112"/>
      <c r="J65" s="112"/>
    </row>
    <row r="66" spans="2:10" ht="15" customHeight="1">
      <c r="B66" s="131" t="s">
        <v>37</v>
      </c>
      <c r="C66" s="131"/>
      <c r="D66" s="131"/>
      <c r="E66" s="131"/>
      <c r="F66" s="131"/>
      <c r="G66" s="131"/>
      <c r="H66" s="131"/>
      <c r="I66" s="131"/>
      <c r="J66" s="131"/>
    </row>
    <row r="67" spans="2:10" ht="15">
      <c r="B67" s="8"/>
      <c r="C67" s="8"/>
      <c r="D67" s="8"/>
      <c r="E67" s="8"/>
      <c r="F67" s="8"/>
      <c r="G67" s="8"/>
      <c r="H67" s="8"/>
      <c r="I67" s="8"/>
    </row>
    <row r="68" spans="2:10" ht="15">
      <c r="B68" s="8"/>
      <c r="C68" s="26"/>
      <c r="D68" s="8"/>
      <c r="E68" s="8"/>
      <c r="F68" s="8"/>
      <c r="G68" s="8"/>
      <c r="H68" s="8"/>
      <c r="I68" s="8"/>
    </row>
    <row r="69" spans="2:10" ht="15">
      <c r="B69" s="8"/>
      <c r="C69" s="8"/>
      <c r="D69" s="8"/>
      <c r="E69" s="8"/>
      <c r="F69" s="8"/>
      <c r="G69" s="8"/>
      <c r="H69" s="8"/>
      <c r="I69" s="8"/>
    </row>
    <row r="73" spans="2:10">
      <c r="B73" s="2"/>
    </row>
  </sheetData>
  <sheetProtection sheet="1" objects="1" scenarios="1"/>
  <mergeCells count="22">
    <mergeCell ref="C5:E5"/>
    <mergeCell ref="B66:J66"/>
    <mergeCell ref="F56:I56"/>
    <mergeCell ref="B65:J65"/>
    <mergeCell ref="G59:J59"/>
    <mergeCell ref="G60:J60"/>
    <mergeCell ref="G62:J62"/>
    <mergeCell ref="B26:C26"/>
    <mergeCell ref="C32:F32"/>
    <mergeCell ref="C31:F31"/>
    <mergeCell ref="B9:C9"/>
    <mergeCell ref="H9:J9"/>
    <mergeCell ref="B24:C24"/>
    <mergeCell ref="G18:I18"/>
    <mergeCell ref="G19:I19"/>
    <mergeCell ref="B10:C10"/>
    <mergeCell ref="G61:J61"/>
    <mergeCell ref="H10:J10"/>
    <mergeCell ref="B25:C25"/>
    <mergeCell ref="G20:I20"/>
    <mergeCell ref="B7:J7"/>
    <mergeCell ref="C30:F30"/>
  </mergeCells>
  <phoneticPr fontId="0" type="noConversion"/>
  <printOptions horizontalCentered="1" verticalCentered="1" gridLinesSet="0"/>
  <pageMargins left="0" right="0" top="0" bottom="0" header="0.35433070866141736" footer="0.27559055118110237"/>
  <pageSetup paperSize="9" scale="79" orientation="portrait" horizontalDpi="4294967294" verticalDpi="4294967292" r:id="rId1"/>
  <headerFooter alignWithMargins="0">
    <oddFooter>&amp;R&amp;D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B1:AA73"/>
  <sheetViews>
    <sheetView showGridLines="0" zoomScale="75" workbookViewId="0">
      <selection activeCell="N20" sqref="N20"/>
    </sheetView>
  </sheetViews>
  <sheetFormatPr baseColWidth="10" defaultRowHeight="12.75"/>
  <cols>
    <col min="1" max="1" width="11.42578125" style="1"/>
    <col min="2" max="2" width="13" style="1" customWidth="1"/>
    <col min="3" max="4" width="15.28515625" style="1" customWidth="1"/>
    <col min="5" max="5" width="16" style="1" customWidth="1"/>
    <col min="6" max="6" width="15.28515625" style="1" customWidth="1"/>
    <col min="7" max="7" width="12.7109375" style="1" customWidth="1"/>
    <col min="8" max="8" width="14.7109375" style="1" customWidth="1"/>
    <col min="9" max="9" width="15.7109375" style="1" customWidth="1"/>
    <col min="10" max="10" width="13.5703125" style="1" customWidth="1"/>
    <col min="11" max="12" width="11.42578125" style="1"/>
    <col min="13" max="14" width="12.5703125" style="1" bestFit="1" customWidth="1"/>
    <col min="15" max="15" width="14.28515625" style="1" customWidth="1"/>
    <col min="16" max="16384" width="11.42578125" style="1"/>
  </cols>
  <sheetData>
    <row r="1" spans="2:10" ht="6" customHeight="1"/>
    <row r="2" spans="2:10" ht="30">
      <c r="B2" s="2"/>
      <c r="F2" s="3" t="s">
        <v>51</v>
      </c>
      <c r="I2" s="4"/>
    </row>
    <row r="3" spans="2:10" ht="9" customHeight="1">
      <c r="B3" s="5"/>
      <c r="I3" s="4"/>
    </row>
    <row r="4" spans="2:10" ht="9" customHeight="1">
      <c r="B4" s="5"/>
      <c r="I4" s="4"/>
    </row>
    <row r="5" spans="2:10" ht="15">
      <c r="B5" s="6" t="s">
        <v>52</v>
      </c>
      <c r="C5" s="150" t="str">
        <f>IF('Saisie des valeurs'!C5:D5&lt;&gt;"",'Saisie des valeurs'!C5:D5,"")</f>
        <v>Client</v>
      </c>
      <c r="D5" s="150"/>
      <c r="E5" s="150"/>
      <c r="F5" s="7"/>
      <c r="G5" s="62"/>
      <c r="H5" s="7" t="s">
        <v>53</v>
      </c>
      <c r="I5" s="78">
        <f ca="1">IF('Saisie des valeurs'!I5:J5&lt;&gt;"",'Saisie des valeurs'!I5:J5,"")</f>
        <v>41907</v>
      </c>
      <c r="J5" s="70"/>
    </row>
    <row r="6" spans="2:10" ht="15">
      <c r="C6" s="48"/>
      <c r="D6" s="41"/>
      <c r="E6" s="41"/>
      <c r="F6" s="49"/>
      <c r="G6" s="50"/>
      <c r="H6" s="52"/>
      <c r="I6" s="52"/>
      <c r="J6" s="8"/>
    </row>
    <row r="7" spans="2:10" ht="15" customHeight="1">
      <c r="B7" s="131"/>
      <c r="C7" s="131"/>
      <c r="D7" s="131"/>
      <c r="E7" s="131"/>
      <c r="F7" s="131"/>
      <c r="G7" s="131"/>
      <c r="H7" s="131"/>
      <c r="I7" s="131"/>
      <c r="J7" s="131"/>
    </row>
    <row r="8" spans="2:10" ht="16.5" thickBot="1">
      <c r="B8" s="9" t="s">
        <v>57</v>
      </c>
      <c r="C8" s="8"/>
      <c r="D8" s="8"/>
      <c r="F8" s="8"/>
      <c r="H8" s="40" t="s">
        <v>56</v>
      </c>
      <c r="I8" s="8"/>
      <c r="J8" s="8"/>
    </row>
    <row r="9" spans="2:10">
      <c r="B9" s="137" t="s">
        <v>40</v>
      </c>
      <c r="C9" s="140"/>
      <c r="D9" s="74"/>
      <c r="H9" s="137" t="s">
        <v>40</v>
      </c>
      <c r="I9" s="138" t="s">
        <v>18</v>
      </c>
      <c r="J9" s="140" t="s">
        <v>2</v>
      </c>
    </row>
    <row r="10" spans="2:10" ht="13.5" thickBot="1">
      <c r="B10" s="146" t="str">
        <f>IF('Saisie des valeurs'!B10&lt;&gt;"",'Saisie des valeurs'!B10,"")</f>
        <v>3R Conditionneur n°2013-01-057</v>
      </c>
      <c r="C10" s="148"/>
      <c r="D10" s="74"/>
      <c r="H10" s="146" t="str">
        <f>IF('Saisie des valeurs'!H10&lt;&gt;"",'Saisie des valeurs'!H10,"")</f>
        <v>HBM 2000kN N° H32636</v>
      </c>
      <c r="I10" s="147" t="str">
        <f>IF('Saisie des valeurs'!J10&lt;&gt;"",'Saisie des valeurs'!J10,"")</f>
        <v/>
      </c>
      <c r="J10" s="148" t="e">
        <f>IF('Saisie des valeurs'!#REF!&lt;&gt;"",'Saisie des valeurs'!#REF!,"")</f>
        <v>#REF!</v>
      </c>
    </row>
    <row r="11" spans="2:10">
      <c r="C11" s="51"/>
      <c r="D11" s="51"/>
      <c r="E11" s="51"/>
      <c r="J11" s="2"/>
    </row>
    <row r="12" spans="2:10">
      <c r="C12" s="51"/>
      <c r="D12" s="51"/>
      <c r="E12" s="51"/>
      <c r="J12" s="2"/>
    </row>
    <row r="13" spans="2:10" ht="16.5" thickBot="1">
      <c r="B13" s="40" t="s">
        <v>64</v>
      </c>
      <c r="I13" s="2"/>
      <c r="J13" s="2"/>
    </row>
    <row r="14" spans="2:10">
      <c r="B14" s="10" t="s">
        <v>13</v>
      </c>
      <c r="C14" s="11" t="s">
        <v>54</v>
      </c>
    </row>
    <row r="15" spans="2:10" ht="13.5" thickBot="1">
      <c r="B15" s="75" t="str">
        <f>IF('Saisie des valeurs'!B15&lt;&gt;"",'Saisie des valeurs'!B15,"")</f>
        <v/>
      </c>
      <c r="C15" s="65" t="str">
        <f>IF('Saisie des valeurs'!C15&lt;&gt;"",'Saisie des valeurs'!C15,"")</f>
        <v/>
      </c>
    </row>
    <row r="16" spans="2:10" ht="15">
      <c r="C16" s="51"/>
      <c r="D16" s="51"/>
      <c r="E16" s="51"/>
      <c r="I16" s="51"/>
      <c r="J16" s="8"/>
    </row>
    <row r="17" spans="2:27" ht="16.5" thickBot="1">
      <c r="B17" s="40" t="s">
        <v>62</v>
      </c>
      <c r="E17" s="8"/>
      <c r="G17" s="40" t="s">
        <v>63</v>
      </c>
      <c r="H17" s="40"/>
      <c r="I17" s="8"/>
      <c r="N17" s="110"/>
      <c r="Q17" s="74"/>
      <c r="Y17" s="1">
        <v>0.5</v>
      </c>
      <c r="Z17" s="1">
        <f>0.5/100</f>
        <v>5.0000000000000001E-3</v>
      </c>
      <c r="AA17" s="1">
        <v>5.0000000000000001E-3</v>
      </c>
    </row>
    <row r="18" spans="2:27" ht="15.75">
      <c r="B18" s="12" t="s">
        <v>55</v>
      </c>
      <c r="C18" s="13" t="s">
        <v>13</v>
      </c>
      <c r="D18" s="13" t="s">
        <v>54</v>
      </c>
      <c r="E18" s="11" t="s">
        <v>90</v>
      </c>
      <c r="F18" s="74"/>
      <c r="G18" s="137" t="s">
        <v>40</v>
      </c>
      <c r="H18" s="138"/>
      <c r="I18" s="139"/>
      <c r="J18" s="11" t="s">
        <v>54</v>
      </c>
      <c r="N18" s="110"/>
      <c r="Q18" s="74"/>
      <c r="Y18" s="1">
        <v>1</v>
      </c>
      <c r="Z18" s="1">
        <v>0.01</v>
      </c>
      <c r="AA18" s="1">
        <v>0.01</v>
      </c>
    </row>
    <row r="19" spans="2:27">
      <c r="B19" s="16"/>
      <c r="C19" s="15"/>
      <c r="D19" s="15"/>
      <c r="E19" s="14" t="s">
        <v>39</v>
      </c>
      <c r="F19" s="74"/>
      <c r="G19" s="141"/>
      <c r="H19" s="131"/>
      <c r="I19" s="142"/>
      <c r="J19" s="14"/>
      <c r="Q19" s="74"/>
      <c r="Y19" s="1">
        <v>2</v>
      </c>
      <c r="Z19" s="1">
        <v>0.02</v>
      </c>
      <c r="AA19" s="1">
        <v>0.02</v>
      </c>
    </row>
    <row r="20" spans="2:27" ht="13.5" thickBot="1">
      <c r="B20" s="63" t="str">
        <f>IF('Saisie des valeurs'!B20&lt;&gt;"",'Saisie des valeurs'!B20,"")</f>
        <v/>
      </c>
      <c r="C20" s="64" t="str">
        <f>IF('Saisie des valeurs'!C20&lt;&gt;"",'Saisie des valeurs'!C20,"")</f>
        <v/>
      </c>
      <c r="D20" s="64" t="str">
        <f>IF('Saisie des valeurs'!D20&lt;&gt;"",'Saisie des valeurs'!D20,"")</f>
        <v/>
      </c>
      <c r="E20" s="65" t="str">
        <f>IF('Saisie des valeurs'!E20&lt;&gt;"",'Saisie des valeurs'!E20,"")</f>
        <v/>
      </c>
      <c r="F20" s="74"/>
      <c r="G20" s="146" t="str">
        <f>IF('Saisie des valeurs'!G20&lt;&gt;"",'Saisie des valeurs'!G20,"")</f>
        <v/>
      </c>
      <c r="H20" s="147"/>
      <c r="I20" s="149"/>
      <c r="J20" s="83" t="str">
        <f>IF('Saisie des valeurs'!J20&lt;&gt;"",'Saisie des valeurs'!J20,"")</f>
        <v/>
      </c>
      <c r="Q20" s="74"/>
    </row>
    <row r="21" spans="2:27">
      <c r="B21" s="51"/>
      <c r="C21" s="51"/>
      <c r="D21" s="51"/>
      <c r="E21" s="51"/>
      <c r="F21" s="51"/>
      <c r="H21" s="51"/>
      <c r="I21" s="51"/>
      <c r="J21" s="51"/>
    </row>
    <row r="22" spans="2:27">
      <c r="B22" s="51"/>
      <c r="C22" s="51"/>
      <c r="D22" s="51"/>
      <c r="E22" s="51"/>
      <c r="F22" s="51"/>
      <c r="H22" s="51"/>
      <c r="I22" s="51"/>
      <c r="J22" s="51"/>
    </row>
    <row r="23" spans="2:27" ht="15.75" thickBot="1">
      <c r="B23" s="8"/>
      <c r="C23" s="8"/>
      <c r="D23" s="8"/>
      <c r="E23" s="8"/>
      <c r="F23" s="8"/>
      <c r="G23" s="8"/>
      <c r="H23" s="8"/>
      <c r="I23" s="8"/>
      <c r="J23" s="8"/>
    </row>
    <row r="24" spans="2:27" ht="15">
      <c r="B24" s="137" t="s">
        <v>61</v>
      </c>
      <c r="C24" s="139"/>
      <c r="D24" s="13" t="s">
        <v>60</v>
      </c>
      <c r="E24" s="13" t="s">
        <v>59</v>
      </c>
      <c r="F24" s="11" t="s">
        <v>58</v>
      </c>
      <c r="G24" s="8"/>
      <c r="H24" s="8"/>
      <c r="I24" s="8"/>
    </row>
    <row r="25" spans="2:27" ht="15">
      <c r="B25" s="116"/>
      <c r="C25" s="117"/>
      <c r="D25" s="15" t="s">
        <v>49</v>
      </c>
      <c r="E25" s="15" t="s">
        <v>39</v>
      </c>
      <c r="F25" s="14" t="s">
        <v>42</v>
      </c>
      <c r="G25" s="8"/>
      <c r="H25" s="8"/>
      <c r="I25" s="8"/>
    </row>
    <row r="26" spans="2:27" ht="15.75" thickBot="1">
      <c r="B26" s="146" t="str">
        <f>IF('Saisie des valeurs'!B26&lt;&gt;"",'Saisie des valeurs'!B26,"")</f>
        <v/>
      </c>
      <c r="C26" s="149" t="str">
        <f>IF('Saisie des valeurs'!C26&lt;&gt;"",'Saisie des valeurs'!C26,"")</f>
        <v/>
      </c>
      <c r="D26" s="64" t="str">
        <f>IF('Saisie des valeurs'!D26&lt;&gt;"",'Saisie des valeurs'!D26,"")</f>
        <v/>
      </c>
      <c r="E26" s="64" t="str">
        <f>IF('Saisie des valeurs'!E26&lt;&gt;"",'Saisie des valeurs'!E26,"")</f>
        <v/>
      </c>
      <c r="F26" s="65" t="str">
        <f>IF('Saisie des valeurs'!F26&lt;&gt;"",'Saisie des valeurs'!F26,"")</f>
        <v/>
      </c>
      <c r="G26" s="8"/>
      <c r="H26" s="8"/>
      <c r="I26" s="8"/>
    </row>
    <row r="27" spans="2:27" ht="15">
      <c r="B27" s="8"/>
      <c r="C27" s="8"/>
      <c r="D27" s="8"/>
      <c r="E27" s="8"/>
      <c r="F27" s="8"/>
      <c r="G27" s="8"/>
      <c r="H27" s="8"/>
      <c r="I27" s="8"/>
      <c r="J27" s="8"/>
    </row>
    <row r="28" spans="2:27" ht="15">
      <c r="B28" s="8"/>
      <c r="C28" s="8"/>
      <c r="D28" s="8"/>
      <c r="E28" s="8"/>
      <c r="F28" s="8"/>
      <c r="G28" s="8"/>
      <c r="H28" s="8"/>
      <c r="I28" s="8"/>
      <c r="J28" s="8"/>
    </row>
    <row r="29" spans="2:27" ht="15">
      <c r="B29" s="8"/>
      <c r="C29" s="8"/>
      <c r="D29" s="8"/>
      <c r="E29" s="8"/>
      <c r="F29" s="8"/>
      <c r="G29" s="8"/>
      <c r="H29" s="8"/>
      <c r="I29" s="8"/>
      <c r="J29" s="8"/>
    </row>
    <row r="30" spans="2:27" ht="15.75" customHeight="1">
      <c r="B30" s="17" t="s">
        <v>64</v>
      </c>
      <c r="C30" s="132" t="s">
        <v>165</v>
      </c>
      <c r="D30" s="133"/>
      <c r="E30" s="133"/>
      <c r="F30" s="134"/>
      <c r="G30" s="18"/>
      <c r="H30" s="17"/>
      <c r="I30" s="17"/>
      <c r="J30" s="17"/>
      <c r="V30" s="17"/>
      <c r="W30" s="17"/>
      <c r="X30" s="17"/>
      <c r="Y30" s="17"/>
    </row>
    <row r="31" spans="2:27" ht="15.75" customHeight="1">
      <c r="B31" s="19" t="s">
        <v>65</v>
      </c>
      <c r="C31" s="122" t="s">
        <v>66</v>
      </c>
      <c r="D31" s="123"/>
      <c r="E31" s="123"/>
      <c r="F31" s="124"/>
      <c r="G31" s="20" t="s">
        <v>67</v>
      </c>
      <c r="H31" s="19" t="s">
        <v>68</v>
      </c>
      <c r="I31" s="19" t="s">
        <v>35</v>
      </c>
      <c r="J31" s="19" t="s">
        <v>69</v>
      </c>
      <c r="V31" s="19"/>
      <c r="W31" s="19"/>
      <c r="X31" s="19"/>
      <c r="Y31" s="19"/>
    </row>
    <row r="32" spans="2:27" ht="18" customHeight="1">
      <c r="B32" s="21" t="s">
        <v>39</v>
      </c>
      <c r="C32" s="125" t="s">
        <v>39</v>
      </c>
      <c r="D32" s="126"/>
      <c r="E32" s="126"/>
      <c r="F32" s="127"/>
      <c r="G32" s="20" t="s">
        <v>7</v>
      </c>
      <c r="H32" s="19" t="s">
        <v>7</v>
      </c>
      <c r="I32" s="19" t="s">
        <v>39</v>
      </c>
      <c r="J32" s="19"/>
      <c r="V32" s="19"/>
      <c r="W32" s="19"/>
      <c r="X32" s="46"/>
      <c r="Y32" s="46"/>
    </row>
    <row r="33" spans="2:25" ht="15.75">
      <c r="B33" s="22"/>
      <c r="C33" s="22">
        <v>1</v>
      </c>
      <c r="D33" s="22">
        <v>2</v>
      </c>
      <c r="E33" s="22">
        <v>3</v>
      </c>
      <c r="F33" s="22" t="s">
        <v>70</v>
      </c>
      <c r="G33" s="71"/>
      <c r="H33" s="22"/>
      <c r="I33" s="22"/>
      <c r="J33" s="22"/>
      <c r="V33" s="21"/>
      <c r="W33" s="21"/>
      <c r="X33" s="47"/>
      <c r="Y33" s="47"/>
    </row>
    <row r="34" spans="2:25" ht="15">
      <c r="B34" s="66" t="str">
        <f>IF('Saisie des valeurs'!B34&lt;&gt;"",'Saisie des valeurs'!B34,"")</f>
        <v/>
      </c>
      <c r="C34" s="76" t="str">
        <f>IF('Saisie des valeurs'!C34&lt;&gt;"",ROUND('Saisie des valeurs'!C34,ABS(LOG10('Saisie des valeurs'!$I34))),"")</f>
        <v/>
      </c>
      <c r="D34" s="76" t="str">
        <f>IF('Saisie des valeurs'!D34&lt;&gt;"",ROUND('Saisie des valeurs'!D34,ABS(LOG10('Saisie des valeurs'!$I34))),"")</f>
        <v/>
      </c>
      <c r="E34" s="76" t="str">
        <f>IF('Saisie des valeurs'!E34&lt;&gt;"",ROUND('Saisie des valeurs'!E34,ABS(LOG10('Saisie des valeurs'!$I34))),"")</f>
        <v/>
      </c>
      <c r="F34" s="80" t="str">
        <f>IF('Saisie des valeurs'!F34&lt;&gt;"",ROUND('Saisie des valeurs'!F34,ABS(LOG10('Saisie des valeurs'!$I34))),"")</f>
        <v/>
      </c>
      <c r="G34" s="23" t="str">
        <f>IF('Saisie des valeurs'!G34&lt;&gt;"",'Saisie des valeurs'!G34,"")</f>
        <v/>
      </c>
      <c r="H34" s="24" t="str">
        <f>IF('Saisie des valeurs'!H34&lt;&gt;"",'Saisie des valeurs'!H34,"")</f>
        <v/>
      </c>
      <c r="I34" s="56" t="str">
        <f>IF('Saisie des valeurs'!I34&lt;&gt;"",'Saisie des valeurs'!I34,"")</f>
        <v/>
      </c>
      <c r="J34" s="58" t="str">
        <f>IF('Saisie des valeurs'!J34&lt;&gt;"",'Saisie des valeurs'!J34,"")</f>
        <v/>
      </c>
      <c r="V34" s="24"/>
      <c r="W34" s="24"/>
      <c r="X34" s="53"/>
      <c r="Y34" s="53"/>
    </row>
    <row r="35" spans="2:25" ht="15">
      <c r="B35" s="66" t="str">
        <f>IF('Saisie des valeurs'!B35&lt;&gt;"",'Saisie des valeurs'!B35,"")</f>
        <v/>
      </c>
      <c r="C35" s="76" t="str">
        <f>IF('Saisie des valeurs'!C35&lt;&gt;"",ROUND('Saisie des valeurs'!C35,ABS(LOG10('Saisie des valeurs'!$I35))),"")</f>
        <v/>
      </c>
      <c r="D35" s="76" t="str">
        <f>IF('Saisie des valeurs'!D35&lt;&gt;"",ROUND('Saisie des valeurs'!D35,ABS(LOG10('Saisie des valeurs'!$I35))),"")</f>
        <v/>
      </c>
      <c r="E35" s="76" t="str">
        <f>IF('Saisie des valeurs'!E35&lt;&gt;"",ROUND('Saisie des valeurs'!E35,ABS(LOG10('Saisie des valeurs'!$I35))),"")</f>
        <v/>
      </c>
      <c r="F35" s="80" t="str">
        <f>IF('Saisie des valeurs'!F35&lt;&gt;"",ROUND('Saisie des valeurs'!F35,ABS(LOG10('Saisie des valeurs'!$I35))),"")</f>
        <v/>
      </c>
      <c r="G35" s="23" t="str">
        <f>IF('Saisie des valeurs'!G35&lt;&gt;"",'Saisie des valeurs'!G35,"")</f>
        <v/>
      </c>
      <c r="H35" s="24" t="str">
        <f>IF('Saisie des valeurs'!H35&lt;&gt;"",'Saisie des valeurs'!H35,"")</f>
        <v/>
      </c>
      <c r="I35" s="56" t="str">
        <f>IF('Saisie des valeurs'!I35&lt;&gt;"",'Saisie des valeurs'!I35,"")</f>
        <v/>
      </c>
      <c r="J35" s="56" t="str">
        <f>IF('Saisie des valeurs'!J35&lt;&gt;"",'Saisie des valeurs'!J35,"")</f>
        <v/>
      </c>
      <c r="V35" s="24"/>
      <c r="W35" s="24"/>
      <c r="X35" s="54"/>
      <c r="Y35" s="54"/>
    </row>
    <row r="36" spans="2:25" ht="15">
      <c r="B36" s="66" t="str">
        <f>IF('Saisie des valeurs'!B36&lt;&gt;"",'Saisie des valeurs'!B36,"")</f>
        <v/>
      </c>
      <c r="C36" s="76" t="str">
        <f>IF('Saisie des valeurs'!C36&lt;&gt;"",ROUND('Saisie des valeurs'!C36,ABS(LOG10('Saisie des valeurs'!$I36))),"")</f>
        <v/>
      </c>
      <c r="D36" s="76" t="str">
        <f>IF('Saisie des valeurs'!D36&lt;&gt;"",ROUND('Saisie des valeurs'!D36,ABS(LOG10('Saisie des valeurs'!$I36))),"")</f>
        <v/>
      </c>
      <c r="E36" s="76" t="str">
        <f>IF('Saisie des valeurs'!E36&lt;&gt;"",ROUND('Saisie des valeurs'!E36,ABS(LOG10('Saisie des valeurs'!$I36))),"")</f>
        <v/>
      </c>
      <c r="F36" s="80" t="str">
        <f>IF('Saisie des valeurs'!F36&lt;&gt;"",ROUND('Saisie des valeurs'!F36,ABS(LOG10('Saisie des valeurs'!$I36))),"")</f>
        <v/>
      </c>
      <c r="G36" s="23" t="str">
        <f>IF('Saisie des valeurs'!G36&lt;&gt;"",'Saisie des valeurs'!G36,"")</f>
        <v/>
      </c>
      <c r="H36" s="24" t="str">
        <f>IF('Saisie des valeurs'!H36&lt;&gt;"",'Saisie des valeurs'!H36,"")</f>
        <v/>
      </c>
      <c r="I36" s="56" t="str">
        <f>IF('Saisie des valeurs'!I36&lt;&gt;"",'Saisie des valeurs'!I36,"")</f>
        <v/>
      </c>
      <c r="J36" s="56" t="str">
        <f>IF('Saisie des valeurs'!J36&lt;&gt;"",'Saisie des valeurs'!J36,"")</f>
        <v/>
      </c>
      <c r="V36" s="24"/>
      <c r="W36" s="24"/>
      <c r="X36" s="54"/>
      <c r="Y36" s="54"/>
    </row>
    <row r="37" spans="2:25" ht="15">
      <c r="B37" s="66" t="str">
        <f>IF('Saisie des valeurs'!B37&lt;&gt;"",'Saisie des valeurs'!B37,"")</f>
        <v/>
      </c>
      <c r="C37" s="76" t="str">
        <f>IF('Saisie des valeurs'!C37&lt;&gt;"",ROUND('Saisie des valeurs'!C37,ABS(LOG10('Saisie des valeurs'!$I37))),"")</f>
        <v/>
      </c>
      <c r="D37" s="76" t="str">
        <f>IF('Saisie des valeurs'!D37&lt;&gt;"",ROUND('Saisie des valeurs'!D37,ABS(LOG10('Saisie des valeurs'!$I37))),"")</f>
        <v/>
      </c>
      <c r="E37" s="76" t="str">
        <f>IF('Saisie des valeurs'!E37&lt;&gt;"",ROUND('Saisie des valeurs'!E37,ABS(LOG10('Saisie des valeurs'!$I37))),"")</f>
        <v/>
      </c>
      <c r="F37" s="80" t="str">
        <f>IF('Saisie des valeurs'!F37&lt;&gt;"",ROUND('Saisie des valeurs'!F37,ABS(LOG10('Saisie des valeurs'!$I37))),"")</f>
        <v/>
      </c>
      <c r="G37" s="23" t="str">
        <f>IF('Saisie des valeurs'!G37&lt;&gt;"",'Saisie des valeurs'!G37,"")</f>
        <v/>
      </c>
      <c r="H37" s="24" t="str">
        <f>IF('Saisie des valeurs'!H37&lt;&gt;"",'Saisie des valeurs'!H37,"")</f>
        <v/>
      </c>
      <c r="I37" s="56" t="str">
        <f>IF('Saisie des valeurs'!I37&lt;&gt;"",'Saisie des valeurs'!I37,"")</f>
        <v/>
      </c>
      <c r="J37" s="56" t="str">
        <f>IF('Saisie des valeurs'!J37&lt;&gt;"",'Saisie des valeurs'!J37,"")</f>
        <v/>
      </c>
      <c r="V37" s="24"/>
      <c r="W37" s="24"/>
      <c r="X37" s="54"/>
      <c r="Y37" s="54"/>
    </row>
    <row r="38" spans="2:25" ht="15">
      <c r="B38" s="66" t="str">
        <f>IF('Saisie des valeurs'!B38&lt;&gt;"",'Saisie des valeurs'!B38,"")</f>
        <v/>
      </c>
      <c r="C38" s="76" t="str">
        <f>IF('Saisie des valeurs'!C38&lt;&gt;"",ROUND('Saisie des valeurs'!C38,ABS(LOG10('Saisie des valeurs'!$I38))),"")</f>
        <v/>
      </c>
      <c r="D38" s="76" t="str">
        <f>IF('Saisie des valeurs'!D38&lt;&gt;"",ROUND('Saisie des valeurs'!D38,ABS(LOG10('Saisie des valeurs'!$I38))),"")</f>
        <v/>
      </c>
      <c r="E38" s="76" t="str">
        <f>IF('Saisie des valeurs'!E38&lt;&gt;"",ROUND('Saisie des valeurs'!E38,ABS(LOG10('Saisie des valeurs'!$I38))),"")</f>
        <v/>
      </c>
      <c r="F38" s="80" t="str">
        <f>IF('Saisie des valeurs'!F38&lt;&gt;"",ROUND('Saisie des valeurs'!F38,ABS(LOG10('Saisie des valeurs'!$I38))),"")</f>
        <v/>
      </c>
      <c r="G38" s="23" t="str">
        <f>IF('Saisie des valeurs'!G38&lt;&gt;"",'Saisie des valeurs'!G38,"")</f>
        <v/>
      </c>
      <c r="H38" s="24" t="str">
        <f>IF('Saisie des valeurs'!H38&lt;&gt;"",'Saisie des valeurs'!H38,"")</f>
        <v/>
      </c>
      <c r="I38" s="56" t="str">
        <f>IF('Saisie des valeurs'!I38&lt;&gt;"",'Saisie des valeurs'!I38,"")</f>
        <v/>
      </c>
      <c r="J38" s="56" t="str">
        <f>IF('Saisie des valeurs'!J38&lt;&gt;"",'Saisie des valeurs'!J38,"")</f>
        <v/>
      </c>
      <c r="V38" s="24"/>
      <c r="W38" s="24"/>
      <c r="X38" s="54"/>
      <c r="Y38" s="54"/>
    </row>
    <row r="39" spans="2:25" ht="15">
      <c r="B39" s="66" t="str">
        <f>IF('Saisie des valeurs'!B39&lt;&gt;"",'Saisie des valeurs'!B39,"")</f>
        <v/>
      </c>
      <c r="C39" s="76" t="str">
        <f>IF('Saisie des valeurs'!C39&lt;&gt;"",ROUND('Saisie des valeurs'!C39,ABS(LOG10('Saisie des valeurs'!$I39))),"")</f>
        <v/>
      </c>
      <c r="D39" s="76" t="str">
        <f>IF('Saisie des valeurs'!D39&lt;&gt;"",ROUND('Saisie des valeurs'!D39,ABS(LOG10('Saisie des valeurs'!$I39))),"")</f>
        <v/>
      </c>
      <c r="E39" s="76" t="str">
        <f>IF('Saisie des valeurs'!E39&lt;&gt;"",ROUND('Saisie des valeurs'!E39,ABS(LOG10('Saisie des valeurs'!$I39))),"")</f>
        <v/>
      </c>
      <c r="F39" s="80" t="str">
        <f>IF('Saisie des valeurs'!F39&lt;&gt;"",ROUND('Saisie des valeurs'!F39,ABS(LOG10('Saisie des valeurs'!$I39))),"")</f>
        <v/>
      </c>
      <c r="G39" s="23" t="str">
        <f>IF('Saisie des valeurs'!G39&lt;&gt;"",'Saisie des valeurs'!G39,"")</f>
        <v/>
      </c>
      <c r="H39" s="24" t="str">
        <f>IF('Saisie des valeurs'!H39&lt;&gt;"",'Saisie des valeurs'!H39,"")</f>
        <v/>
      </c>
      <c r="I39" s="56" t="str">
        <f>IF('Saisie des valeurs'!I39&lt;&gt;"",'Saisie des valeurs'!I39,"")</f>
        <v/>
      </c>
      <c r="J39" s="56" t="str">
        <f>IF('Saisie des valeurs'!J39&lt;&gt;"",'Saisie des valeurs'!J39,"")</f>
        <v/>
      </c>
      <c r="V39" s="24"/>
      <c r="W39" s="24"/>
      <c r="X39" s="54"/>
      <c r="Y39" s="54"/>
    </row>
    <row r="40" spans="2:25" ht="15">
      <c r="B40" s="66" t="str">
        <f>IF('Saisie des valeurs'!B40&lt;&gt;"",'Saisie des valeurs'!B40,"")</f>
        <v/>
      </c>
      <c r="C40" s="76" t="str">
        <f>IF('Saisie des valeurs'!C40&lt;&gt;"",ROUND('Saisie des valeurs'!C40,ABS(LOG10('Saisie des valeurs'!$I40))),"")</f>
        <v/>
      </c>
      <c r="D40" s="76" t="str">
        <f>IF('Saisie des valeurs'!D40&lt;&gt;"",ROUND('Saisie des valeurs'!D40,ABS(LOG10('Saisie des valeurs'!$I40))),"")</f>
        <v/>
      </c>
      <c r="E40" s="76" t="str">
        <f>IF('Saisie des valeurs'!E40&lt;&gt;"",ROUND('Saisie des valeurs'!E40,ABS(LOG10('Saisie des valeurs'!$I40))),"")</f>
        <v/>
      </c>
      <c r="F40" s="80" t="str">
        <f>IF('Saisie des valeurs'!F40&lt;&gt;"",ROUND('Saisie des valeurs'!F40,ABS(LOG10('Saisie des valeurs'!$I40))),"")</f>
        <v/>
      </c>
      <c r="G40" s="23" t="str">
        <f>IF('Saisie des valeurs'!G40&lt;&gt;"",'Saisie des valeurs'!G40,"")</f>
        <v/>
      </c>
      <c r="H40" s="24" t="str">
        <f>IF('Saisie des valeurs'!H40&lt;&gt;"",'Saisie des valeurs'!H40,"")</f>
        <v/>
      </c>
      <c r="I40" s="56" t="str">
        <f>IF('Saisie des valeurs'!I40&lt;&gt;"",'Saisie des valeurs'!I40,"")</f>
        <v/>
      </c>
      <c r="J40" s="56" t="str">
        <f>IF('Saisie des valeurs'!J40&lt;&gt;"",'Saisie des valeurs'!J40,"")</f>
        <v/>
      </c>
      <c r="V40" s="24"/>
      <c r="W40" s="24"/>
      <c r="X40" s="54"/>
      <c r="Y40" s="54"/>
    </row>
    <row r="41" spans="2:25" ht="15">
      <c r="B41" s="66" t="str">
        <f>IF('Saisie des valeurs'!B41&lt;&gt;"",'Saisie des valeurs'!B41,"")</f>
        <v/>
      </c>
      <c r="C41" s="76" t="str">
        <f>IF('Saisie des valeurs'!C41&lt;&gt;"",ROUND('Saisie des valeurs'!C41,ABS(LOG10('Saisie des valeurs'!$I41))),"")</f>
        <v/>
      </c>
      <c r="D41" s="76" t="str">
        <f>IF('Saisie des valeurs'!D41&lt;&gt;"",ROUND('Saisie des valeurs'!D41,ABS(LOG10('Saisie des valeurs'!$I41))),"")</f>
        <v/>
      </c>
      <c r="E41" s="76" t="str">
        <f>IF('Saisie des valeurs'!E41&lt;&gt;"",ROUND('Saisie des valeurs'!E41,ABS(LOG10('Saisie des valeurs'!$I41))),"")</f>
        <v/>
      </c>
      <c r="F41" s="80" t="str">
        <f>IF('Saisie des valeurs'!F41&lt;&gt;"",ROUND('Saisie des valeurs'!F41,ABS(LOG10('Saisie des valeurs'!$I41))),"")</f>
        <v/>
      </c>
      <c r="G41" s="23" t="str">
        <f>IF('Saisie des valeurs'!G41&lt;&gt;"",'Saisie des valeurs'!G41,"")</f>
        <v/>
      </c>
      <c r="H41" s="24" t="str">
        <f>IF('Saisie des valeurs'!H41&lt;&gt;"",'Saisie des valeurs'!H41,"")</f>
        <v/>
      </c>
      <c r="I41" s="56" t="str">
        <f>IF('Saisie des valeurs'!I41&lt;&gt;"",'Saisie des valeurs'!I41,"")</f>
        <v/>
      </c>
      <c r="J41" s="56" t="str">
        <f>IF('Saisie des valeurs'!J41&lt;&gt;"",'Saisie des valeurs'!J41,"")</f>
        <v/>
      </c>
      <c r="V41" s="24"/>
      <c r="W41" s="24"/>
      <c r="X41" s="54"/>
      <c r="Y41" s="54"/>
    </row>
    <row r="42" spans="2:25" ht="15">
      <c r="B42" s="66" t="str">
        <f>IF('Saisie des valeurs'!B42&lt;&gt;"",'Saisie des valeurs'!B42,"")</f>
        <v/>
      </c>
      <c r="C42" s="76" t="str">
        <f>IF('Saisie des valeurs'!C42&lt;&gt;"",ROUND('Saisie des valeurs'!C42,ABS(LOG10('Saisie des valeurs'!$I42))),"")</f>
        <v/>
      </c>
      <c r="D42" s="76" t="str">
        <f>IF('Saisie des valeurs'!D42&lt;&gt;"",ROUND('Saisie des valeurs'!D42,ABS(LOG10('Saisie des valeurs'!$I42))),"")</f>
        <v/>
      </c>
      <c r="E42" s="76" t="str">
        <f>IF('Saisie des valeurs'!E42&lt;&gt;"",ROUND('Saisie des valeurs'!E42,ABS(LOG10('Saisie des valeurs'!$I42))),"")</f>
        <v/>
      </c>
      <c r="F42" s="80" t="str">
        <f>IF('Saisie des valeurs'!F42&lt;&gt;"",ROUND('Saisie des valeurs'!F42,ABS(LOG10('Saisie des valeurs'!$I42))),"")</f>
        <v/>
      </c>
      <c r="G42" s="23" t="str">
        <f>IF('Saisie des valeurs'!G42&lt;&gt;"",'Saisie des valeurs'!G42,"")</f>
        <v/>
      </c>
      <c r="H42" s="24" t="str">
        <f>IF('Saisie des valeurs'!H42&lt;&gt;"",'Saisie des valeurs'!H42,"")</f>
        <v/>
      </c>
      <c r="I42" s="56" t="str">
        <f>IF('Saisie des valeurs'!I42&lt;&gt;"",'Saisie des valeurs'!I42,"")</f>
        <v/>
      </c>
      <c r="J42" s="56" t="str">
        <f>IF('Saisie des valeurs'!J42&lt;&gt;"",'Saisie des valeurs'!J42,"")</f>
        <v/>
      </c>
      <c r="V42" s="24"/>
      <c r="W42" s="24"/>
      <c r="X42" s="54"/>
      <c r="Y42" s="54"/>
    </row>
    <row r="43" spans="2:25" ht="15">
      <c r="B43" s="66" t="str">
        <f>IF('Saisie des valeurs'!B43&lt;&gt;"",'Saisie des valeurs'!B43,"")</f>
        <v/>
      </c>
      <c r="C43" s="76" t="str">
        <f>IF('Saisie des valeurs'!C43&lt;&gt;"",ROUND('Saisie des valeurs'!C43,ABS(LOG10('Saisie des valeurs'!$I43))),"")</f>
        <v/>
      </c>
      <c r="D43" s="76" t="str">
        <f>IF('Saisie des valeurs'!D43&lt;&gt;"",ROUND('Saisie des valeurs'!D43,ABS(LOG10('Saisie des valeurs'!$I43))),"")</f>
        <v/>
      </c>
      <c r="E43" s="76" t="str">
        <f>IF('Saisie des valeurs'!E43&lt;&gt;"",ROUND('Saisie des valeurs'!E43,ABS(LOG10('Saisie des valeurs'!$I43))),"")</f>
        <v/>
      </c>
      <c r="F43" s="80" t="str">
        <f>IF('Saisie des valeurs'!F43&lt;&gt;"",ROUND('Saisie des valeurs'!F43,ABS(LOG10('Saisie des valeurs'!$I43))),"")</f>
        <v/>
      </c>
      <c r="G43" s="23" t="str">
        <f>IF('Saisie des valeurs'!G43&lt;&gt;"",'Saisie des valeurs'!G43,"")</f>
        <v/>
      </c>
      <c r="H43" s="24" t="str">
        <f>IF('Saisie des valeurs'!H43&lt;&gt;"",'Saisie des valeurs'!H43,"")</f>
        <v/>
      </c>
      <c r="I43" s="56" t="str">
        <f>IF('Saisie des valeurs'!I43&lt;&gt;"",'Saisie des valeurs'!I43,"")</f>
        <v/>
      </c>
      <c r="J43" s="56" t="str">
        <f>IF('Saisie des valeurs'!J43&lt;&gt;"",'Saisie des valeurs'!J43,"")</f>
        <v/>
      </c>
      <c r="V43" s="24"/>
      <c r="W43" s="24"/>
      <c r="X43" s="54"/>
      <c r="Y43" s="54"/>
    </row>
    <row r="44" spans="2:25" ht="15">
      <c r="B44" s="66" t="str">
        <f>IF('Saisie des valeurs'!B44&lt;&gt;"",'Saisie des valeurs'!B44,"")</f>
        <v/>
      </c>
      <c r="C44" s="76" t="str">
        <f>IF('Saisie des valeurs'!C44&lt;&gt;"",ROUND('Saisie des valeurs'!C44,ABS(LOG10('Saisie des valeurs'!$I44))),"")</f>
        <v/>
      </c>
      <c r="D44" s="76" t="str">
        <f>IF('Saisie des valeurs'!D44&lt;&gt;"",ROUND('Saisie des valeurs'!D44,ABS(LOG10('Saisie des valeurs'!$I44))),"")</f>
        <v/>
      </c>
      <c r="E44" s="76" t="str">
        <f>IF('Saisie des valeurs'!E44&lt;&gt;"",ROUND('Saisie des valeurs'!E44,ABS(LOG10('Saisie des valeurs'!$I44))),"")</f>
        <v/>
      </c>
      <c r="F44" s="80" t="str">
        <f>IF('Saisie des valeurs'!F44&lt;&gt;"",ROUND('Saisie des valeurs'!F44,ABS(LOG10('Saisie des valeurs'!$I44))),"")</f>
        <v/>
      </c>
      <c r="G44" s="23" t="str">
        <f>IF('Saisie des valeurs'!G44&lt;&gt;"",'Saisie des valeurs'!G44,"")</f>
        <v/>
      </c>
      <c r="H44" s="24" t="str">
        <f>IF('Saisie des valeurs'!H44&lt;&gt;"",'Saisie des valeurs'!H44,"")</f>
        <v/>
      </c>
      <c r="I44" s="56" t="str">
        <f>IF('Saisie des valeurs'!I44&lt;&gt;"",'Saisie des valeurs'!I44,"")</f>
        <v/>
      </c>
      <c r="J44" s="56" t="str">
        <f>IF('Saisie des valeurs'!J44&lt;&gt;"",'Saisie des valeurs'!J44,"")</f>
        <v/>
      </c>
      <c r="V44" s="24"/>
      <c r="W44" s="24"/>
      <c r="X44" s="54"/>
      <c r="Y44" s="54"/>
    </row>
    <row r="45" spans="2:25" ht="15">
      <c r="B45" s="66" t="str">
        <f>IF('Saisie des valeurs'!B45&lt;&gt;"",'Saisie des valeurs'!B45,"")</f>
        <v/>
      </c>
      <c r="C45" s="76" t="str">
        <f>IF('Saisie des valeurs'!C45&lt;&gt;"",ROUND('Saisie des valeurs'!C45,ABS(LOG10('Saisie des valeurs'!$I45))),"")</f>
        <v/>
      </c>
      <c r="D45" s="76" t="str">
        <f>IF('Saisie des valeurs'!D45&lt;&gt;"",ROUND('Saisie des valeurs'!D45,ABS(LOG10('Saisie des valeurs'!$I45))),"")</f>
        <v/>
      </c>
      <c r="E45" s="76" t="str">
        <f>IF('Saisie des valeurs'!E45&lt;&gt;"",ROUND('Saisie des valeurs'!E45,ABS(LOG10('Saisie des valeurs'!$I45))),"")</f>
        <v/>
      </c>
      <c r="F45" s="80" t="str">
        <f>IF('Saisie des valeurs'!F45&lt;&gt;"",ROUND('Saisie des valeurs'!F45,ABS(LOG10('Saisie des valeurs'!$I45))),"")</f>
        <v/>
      </c>
      <c r="G45" s="23" t="str">
        <f>IF('Saisie des valeurs'!G45&lt;&gt;"",'Saisie des valeurs'!G45,"")</f>
        <v/>
      </c>
      <c r="H45" s="24" t="str">
        <f>IF('Saisie des valeurs'!H45&lt;&gt;"",'Saisie des valeurs'!H45,"")</f>
        <v/>
      </c>
      <c r="I45" s="56" t="str">
        <f>IF('Saisie des valeurs'!I45&lt;&gt;"",'Saisie des valeurs'!I45,"")</f>
        <v/>
      </c>
      <c r="J45" s="56" t="str">
        <f>IF('Saisie des valeurs'!J45&lt;&gt;"",'Saisie des valeurs'!J45,"")</f>
        <v/>
      </c>
      <c r="V45" s="24"/>
      <c r="W45" s="24"/>
      <c r="X45" s="54"/>
      <c r="Y45" s="54"/>
    </row>
    <row r="46" spans="2:25" ht="15">
      <c r="B46" s="66" t="str">
        <f>IF('Saisie des valeurs'!B46&lt;&gt;"",'Saisie des valeurs'!B46,"")</f>
        <v/>
      </c>
      <c r="C46" s="76" t="str">
        <f>IF('Saisie des valeurs'!C46&lt;&gt;"",ROUND('Saisie des valeurs'!C46,ABS(LOG10('Saisie des valeurs'!$I46))),"")</f>
        <v/>
      </c>
      <c r="D46" s="76" t="str">
        <f>IF('Saisie des valeurs'!D46&lt;&gt;"",ROUND('Saisie des valeurs'!D46,ABS(LOG10('Saisie des valeurs'!$I46))),"")</f>
        <v/>
      </c>
      <c r="E46" s="76" t="str">
        <f>IF('Saisie des valeurs'!E46&lt;&gt;"",ROUND('Saisie des valeurs'!E46,ABS(LOG10('Saisie des valeurs'!$I46))),"")</f>
        <v/>
      </c>
      <c r="F46" s="80" t="str">
        <f>IF('Saisie des valeurs'!F46&lt;&gt;"",ROUND('Saisie des valeurs'!F46,ABS(LOG10('Saisie des valeurs'!$I46))),"")</f>
        <v/>
      </c>
      <c r="G46" s="23" t="str">
        <f>IF('Saisie des valeurs'!G46&lt;&gt;"",'Saisie des valeurs'!G46,"")</f>
        <v/>
      </c>
      <c r="H46" s="24" t="str">
        <f>IF('Saisie des valeurs'!H46&lt;&gt;"",'Saisie des valeurs'!H46,"")</f>
        <v/>
      </c>
      <c r="I46" s="56" t="str">
        <f>IF('Saisie des valeurs'!I46&lt;&gt;"",'Saisie des valeurs'!I46,"")</f>
        <v/>
      </c>
      <c r="J46" s="56" t="str">
        <f>IF('Saisie des valeurs'!J46&lt;&gt;"",'Saisie des valeurs'!J46,"")</f>
        <v/>
      </c>
      <c r="V46" s="24"/>
      <c r="W46" s="24"/>
      <c r="X46" s="54"/>
      <c r="Y46" s="54"/>
    </row>
    <row r="47" spans="2:25" ht="15">
      <c r="B47" s="66" t="str">
        <f>IF('Saisie des valeurs'!B47&lt;&gt;"",'Saisie des valeurs'!B47,"")</f>
        <v/>
      </c>
      <c r="C47" s="76" t="str">
        <f>IF('Saisie des valeurs'!C47&lt;&gt;"",ROUND('Saisie des valeurs'!C47,ABS(LOG10('Saisie des valeurs'!$I47))),"")</f>
        <v/>
      </c>
      <c r="D47" s="76" t="str">
        <f>IF('Saisie des valeurs'!D47&lt;&gt;"",ROUND('Saisie des valeurs'!D47,ABS(LOG10('Saisie des valeurs'!$I47))),"")</f>
        <v/>
      </c>
      <c r="E47" s="76" t="str">
        <f>IF('Saisie des valeurs'!E47&lt;&gt;"",ROUND('Saisie des valeurs'!E47,ABS(LOG10('Saisie des valeurs'!$I47))),"")</f>
        <v/>
      </c>
      <c r="F47" s="80" t="str">
        <f>IF('Saisie des valeurs'!F47&lt;&gt;"",ROUND('Saisie des valeurs'!F47,ABS(LOG10('Saisie des valeurs'!$I47))),"")</f>
        <v/>
      </c>
      <c r="G47" s="23" t="str">
        <f>IF('Saisie des valeurs'!G47&lt;&gt;"",'Saisie des valeurs'!G47,"")</f>
        <v/>
      </c>
      <c r="H47" s="24" t="str">
        <f>IF('Saisie des valeurs'!H47&lt;&gt;"",'Saisie des valeurs'!H47,"")</f>
        <v/>
      </c>
      <c r="I47" s="56" t="str">
        <f>IF('Saisie des valeurs'!I47&lt;&gt;"",'Saisie des valeurs'!I47,"")</f>
        <v/>
      </c>
      <c r="J47" s="56" t="str">
        <f>IF('Saisie des valeurs'!J47&lt;&gt;"",'Saisie des valeurs'!J47,"")</f>
        <v/>
      </c>
      <c r="K47" s="2"/>
      <c r="V47" s="24"/>
      <c r="W47" s="24"/>
      <c r="X47" s="54"/>
      <c r="Y47" s="54"/>
    </row>
    <row r="48" spans="2:25" ht="15">
      <c r="B48" s="66" t="str">
        <f>IF('Saisie des valeurs'!B48&lt;&gt;"",'Saisie des valeurs'!B48,"")</f>
        <v/>
      </c>
      <c r="C48" s="76" t="str">
        <f>IF('Saisie des valeurs'!C48&lt;&gt;"",ROUND('Saisie des valeurs'!C48,ABS(LOG10('Saisie des valeurs'!$I48))),"")</f>
        <v/>
      </c>
      <c r="D48" s="76" t="str">
        <f>IF('Saisie des valeurs'!D48&lt;&gt;"",ROUND('Saisie des valeurs'!D48,ABS(LOG10('Saisie des valeurs'!$I48))),"")</f>
        <v/>
      </c>
      <c r="E48" s="76" t="str">
        <f>IF('Saisie des valeurs'!E48&lt;&gt;"",ROUND('Saisie des valeurs'!E48,ABS(LOG10('Saisie des valeurs'!$I48))),"")</f>
        <v/>
      </c>
      <c r="F48" s="80" t="str">
        <f>IF('Saisie des valeurs'!F48&lt;&gt;"",ROUND('Saisie des valeurs'!F48,ABS(LOG10('Saisie des valeurs'!$I48))),"")</f>
        <v/>
      </c>
      <c r="G48" s="23" t="str">
        <f>IF('Saisie des valeurs'!G48&lt;&gt;"",'Saisie des valeurs'!G48,"")</f>
        <v/>
      </c>
      <c r="H48" s="24" t="str">
        <f>IF('Saisie des valeurs'!H48&lt;&gt;"",'Saisie des valeurs'!H48,"")</f>
        <v/>
      </c>
      <c r="I48" s="56" t="str">
        <f>IF('Saisie des valeurs'!I48&lt;&gt;"",'Saisie des valeurs'!I48,"")</f>
        <v/>
      </c>
      <c r="J48" s="56" t="str">
        <f>IF('Saisie des valeurs'!J48&lt;&gt;"",'Saisie des valeurs'!J48,"")</f>
        <v/>
      </c>
      <c r="K48" s="2"/>
      <c r="V48" s="24"/>
      <c r="W48" s="24"/>
      <c r="X48" s="54"/>
      <c r="Y48" s="54"/>
    </row>
    <row r="49" spans="2:25" ht="15">
      <c r="B49" s="66" t="str">
        <f>IF('Saisie des valeurs'!B49&lt;&gt;"",'Saisie des valeurs'!B49,"")</f>
        <v/>
      </c>
      <c r="C49" s="76" t="str">
        <f>IF('Saisie des valeurs'!C49&lt;&gt;"",ROUND('Saisie des valeurs'!C49,ABS(LOG10('Saisie des valeurs'!$I49))),"")</f>
        <v/>
      </c>
      <c r="D49" s="76" t="str">
        <f>IF('Saisie des valeurs'!D49&lt;&gt;"",ROUND('Saisie des valeurs'!D49,ABS(LOG10('Saisie des valeurs'!$I49))),"")</f>
        <v/>
      </c>
      <c r="E49" s="76" t="str">
        <f>IF('Saisie des valeurs'!E49&lt;&gt;"",ROUND('Saisie des valeurs'!E49,ABS(LOG10('Saisie des valeurs'!$I49))),"")</f>
        <v/>
      </c>
      <c r="F49" s="80" t="str">
        <f>IF('Saisie des valeurs'!F49&lt;&gt;"",ROUND('Saisie des valeurs'!F49,ABS(LOG10('Saisie des valeurs'!$I49))),"")</f>
        <v/>
      </c>
      <c r="G49" s="23" t="str">
        <f>IF('Saisie des valeurs'!G49&lt;&gt;"",'Saisie des valeurs'!G49,"")</f>
        <v/>
      </c>
      <c r="H49" s="24" t="str">
        <f>IF('Saisie des valeurs'!H49&lt;&gt;"",'Saisie des valeurs'!H49,"")</f>
        <v/>
      </c>
      <c r="I49" s="56" t="str">
        <f>IF('Saisie des valeurs'!I49&lt;&gt;"",'Saisie des valeurs'!I49,"")</f>
        <v/>
      </c>
      <c r="J49" s="56" t="str">
        <f>IF('Saisie des valeurs'!J49&lt;&gt;"",'Saisie des valeurs'!J49,"")</f>
        <v/>
      </c>
      <c r="K49" s="2"/>
      <c r="V49" s="24"/>
      <c r="W49" s="24"/>
      <c r="X49" s="54"/>
      <c r="Y49" s="54"/>
    </row>
    <row r="50" spans="2:25" ht="15">
      <c r="B50" s="66" t="str">
        <f>IF('Saisie des valeurs'!B50&lt;&gt;"",'Saisie des valeurs'!B50,"")</f>
        <v/>
      </c>
      <c r="C50" s="76" t="str">
        <f>IF('Saisie des valeurs'!C50&lt;&gt;"",ROUND('Saisie des valeurs'!C50,ABS(LOG10('Saisie des valeurs'!$I50))),"")</f>
        <v/>
      </c>
      <c r="D50" s="76" t="str">
        <f>IF('Saisie des valeurs'!D50&lt;&gt;"",ROUND('Saisie des valeurs'!D50,ABS(LOG10('Saisie des valeurs'!$I50))),"")</f>
        <v/>
      </c>
      <c r="E50" s="76" t="str">
        <f>IF('Saisie des valeurs'!E50&lt;&gt;"",ROUND('Saisie des valeurs'!E50,ABS(LOG10('Saisie des valeurs'!$I50))),"")</f>
        <v/>
      </c>
      <c r="F50" s="80" t="str">
        <f>IF('Saisie des valeurs'!F50&lt;&gt;"",ROUND('Saisie des valeurs'!F50,ABS(LOG10('Saisie des valeurs'!$I50))),"")</f>
        <v/>
      </c>
      <c r="G50" s="23" t="str">
        <f>IF('Saisie des valeurs'!G50&lt;&gt;"",'Saisie des valeurs'!G50,"")</f>
        <v/>
      </c>
      <c r="H50" s="24" t="str">
        <f>IF('Saisie des valeurs'!H50&lt;&gt;"",'Saisie des valeurs'!H50,"")</f>
        <v/>
      </c>
      <c r="I50" s="56" t="str">
        <f>IF('Saisie des valeurs'!I50&lt;&gt;"",'Saisie des valeurs'!I50,"")</f>
        <v/>
      </c>
      <c r="J50" s="56" t="str">
        <f>IF('Saisie des valeurs'!J50&lt;&gt;"",'Saisie des valeurs'!J50,"")</f>
        <v/>
      </c>
      <c r="K50" s="2"/>
      <c r="V50" s="24"/>
      <c r="W50" s="24"/>
      <c r="X50" s="54"/>
      <c r="Y50" s="54"/>
    </row>
    <row r="51" spans="2:25" ht="15">
      <c r="B51" s="66" t="str">
        <f>IF('Saisie des valeurs'!B51&lt;&gt;"",'Saisie des valeurs'!B51,"")</f>
        <v/>
      </c>
      <c r="C51" s="76" t="str">
        <f>IF('Saisie des valeurs'!C51&lt;&gt;"",ROUND('Saisie des valeurs'!C51,ABS(LOG10('Saisie des valeurs'!$I51))),"")</f>
        <v/>
      </c>
      <c r="D51" s="76" t="str">
        <f>IF('Saisie des valeurs'!D51&lt;&gt;"",ROUND('Saisie des valeurs'!D51,ABS(LOG10('Saisie des valeurs'!$I51))),"")</f>
        <v/>
      </c>
      <c r="E51" s="76" t="str">
        <f>IF('Saisie des valeurs'!E51&lt;&gt;"",ROUND('Saisie des valeurs'!E51,ABS(LOG10('Saisie des valeurs'!$I51))),"")</f>
        <v/>
      </c>
      <c r="F51" s="80" t="str">
        <f>IF('Saisie des valeurs'!F51&lt;&gt;"",ROUND('Saisie des valeurs'!F51,ABS(LOG10('Saisie des valeurs'!$I51))),"")</f>
        <v/>
      </c>
      <c r="G51" s="23" t="str">
        <f>IF('Saisie des valeurs'!G51&lt;&gt;"",'Saisie des valeurs'!G51,"")</f>
        <v/>
      </c>
      <c r="H51" s="24" t="str">
        <f>IF('Saisie des valeurs'!H51&lt;&gt;"",'Saisie des valeurs'!H51,"")</f>
        <v/>
      </c>
      <c r="I51" s="56" t="str">
        <f>IF('Saisie des valeurs'!I51&lt;&gt;"",'Saisie des valeurs'!I51,"")</f>
        <v/>
      </c>
      <c r="J51" s="56" t="str">
        <f>IF('Saisie des valeurs'!J51&lt;&gt;"",'Saisie des valeurs'!J51,"")</f>
        <v/>
      </c>
      <c r="K51" s="2"/>
      <c r="V51" s="24"/>
      <c r="W51" s="24"/>
      <c r="X51" s="54"/>
      <c r="Y51" s="54"/>
    </row>
    <row r="52" spans="2:25" ht="15">
      <c r="B52" s="66" t="str">
        <f>IF('Saisie des valeurs'!B52&lt;&gt;"",'Saisie des valeurs'!B52,"")</f>
        <v/>
      </c>
      <c r="C52" s="76" t="str">
        <f>IF('Saisie des valeurs'!C52&lt;&gt;"",ROUND('Saisie des valeurs'!C52,ABS(LOG10('Saisie des valeurs'!$I52))),"")</f>
        <v/>
      </c>
      <c r="D52" s="76" t="str">
        <f>IF('Saisie des valeurs'!D52&lt;&gt;"",ROUND('Saisie des valeurs'!D52,ABS(LOG10('Saisie des valeurs'!$I52))),"")</f>
        <v/>
      </c>
      <c r="E52" s="76" t="str">
        <f>IF('Saisie des valeurs'!E52&lt;&gt;"",ROUND('Saisie des valeurs'!E52,ABS(LOG10('Saisie des valeurs'!$I52))),"")</f>
        <v/>
      </c>
      <c r="F52" s="80" t="str">
        <f>IF('Saisie des valeurs'!F52&lt;&gt;"",ROUND('Saisie des valeurs'!F52,ABS(LOG10('Saisie des valeurs'!$I52))),"")</f>
        <v/>
      </c>
      <c r="G52" s="23" t="str">
        <f>IF('Saisie des valeurs'!G52&lt;&gt;"",'Saisie des valeurs'!G52,"")</f>
        <v/>
      </c>
      <c r="H52" s="24" t="str">
        <f>IF('Saisie des valeurs'!H52&lt;&gt;"",'Saisie des valeurs'!H52,"")</f>
        <v/>
      </c>
      <c r="I52" s="56" t="str">
        <f>IF('Saisie des valeurs'!I52&lt;&gt;"",'Saisie des valeurs'!I52,"")</f>
        <v/>
      </c>
      <c r="J52" s="56" t="str">
        <f>IF('Saisie des valeurs'!J52&lt;&gt;"",'Saisie des valeurs'!J52,"")</f>
        <v/>
      </c>
      <c r="K52" s="2"/>
      <c r="V52" s="24"/>
      <c r="W52" s="24"/>
      <c r="X52" s="54"/>
      <c r="Y52" s="54"/>
    </row>
    <row r="53" spans="2:25" ht="15">
      <c r="B53" s="67" t="str">
        <f>IF('Saisie des valeurs'!B53&lt;&gt;"",'Saisie des valeurs'!B53,"")</f>
        <v/>
      </c>
      <c r="C53" s="77" t="str">
        <f>IF('Saisie des valeurs'!C53&lt;&gt;"",ROUND('Saisie des valeurs'!C53,ABS(LOG10('Saisie des valeurs'!$I53))),"")</f>
        <v/>
      </c>
      <c r="D53" s="77" t="str">
        <f>IF('Saisie des valeurs'!D53&lt;&gt;"",ROUND('Saisie des valeurs'!D53,ABS(LOG10('Saisie des valeurs'!$I53))),"")</f>
        <v/>
      </c>
      <c r="E53" s="77" t="str">
        <f>IF('Saisie des valeurs'!E53&lt;&gt;"",ROUND('Saisie des valeurs'!E53,ABS(LOG10('Saisie des valeurs'!$I53))),"")</f>
        <v/>
      </c>
      <c r="F53" s="57" t="str">
        <f>IF('Saisie des valeurs'!F53&lt;&gt;"",ROUND('Saisie des valeurs'!F53,ABS(LOG10('Saisie des valeurs'!$I53))),"")</f>
        <v/>
      </c>
      <c r="G53" s="25" t="str">
        <f>IF('Saisie des valeurs'!G53&lt;&gt;"",'Saisie des valeurs'!G53,"")</f>
        <v/>
      </c>
      <c r="H53" s="25" t="str">
        <f>IF('Saisie des valeurs'!H53&lt;&gt;"",'Saisie des valeurs'!H53,"")</f>
        <v/>
      </c>
      <c r="I53" s="57" t="str">
        <f>IF('Saisie des valeurs'!I53&lt;&gt;"",'Saisie des valeurs'!I53,"")</f>
        <v/>
      </c>
      <c r="J53" s="57" t="str">
        <f>IF('Saisie des valeurs'!J53&lt;&gt;"",'Saisie des valeurs'!J53,"")</f>
        <v/>
      </c>
      <c r="K53" s="2"/>
      <c r="V53" s="25"/>
      <c r="W53" s="25"/>
      <c r="X53" s="55"/>
      <c r="Y53" s="55"/>
    </row>
    <row r="54" spans="2:25" ht="15">
      <c r="C54" s="8"/>
      <c r="D54" s="8"/>
      <c r="E54" s="8"/>
      <c r="F54" s="8"/>
      <c r="G54" s="8"/>
      <c r="H54" s="8"/>
      <c r="I54" s="8"/>
    </row>
    <row r="55" spans="2:25" ht="15.75">
      <c r="C55" s="2"/>
      <c r="D55" s="26"/>
      <c r="E55" s="27"/>
    </row>
    <row r="56" spans="2:25" ht="20.25">
      <c r="C56" s="2"/>
      <c r="D56" s="26"/>
      <c r="E56" s="27"/>
      <c r="F56" s="118" t="s">
        <v>71</v>
      </c>
      <c r="G56" s="118"/>
      <c r="H56" s="118"/>
      <c r="I56" s="118"/>
      <c r="J56" s="59" t="str">
        <f>IF('Saisie des valeurs'!J56&lt;&gt;"",'Saisie des valeurs'!J56,"")</f>
        <v/>
      </c>
    </row>
    <row r="57" spans="2:25" ht="15">
      <c r="C57" s="8"/>
      <c r="D57" s="8"/>
      <c r="E57" s="8"/>
    </row>
    <row r="58" spans="2:25" ht="15">
      <c r="D58" s="28" t="s">
        <v>73</v>
      </c>
      <c r="E58" s="30"/>
      <c r="F58" s="8"/>
      <c r="G58" s="28" t="s">
        <v>75</v>
      </c>
      <c r="H58" s="29"/>
      <c r="I58" s="29"/>
      <c r="J58" s="30"/>
    </row>
    <row r="59" spans="2:25" ht="15">
      <c r="D59" s="33"/>
      <c r="E59" s="32"/>
      <c r="F59" s="8"/>
      <c r="G59" s="143" t="str">
        <f>IF('Saisie des valeurs'!G59&lt;&gt;"",'Saisie des valeurs'!G59,"")</f>
        <v/>
      </c>
      <c r="H59" s="144" t="str">
        <f>IF('Saisie des valeurs'!H59&lt;&gt;"",'Saisie des valeurs'!H59,"")</f>
        <v/>
      </c>
      <c r="I59" s="144" t="str">
        <f>IF('Saisie des valeurs'!I59&lt;&gt;"",'Saisie des valeurs'!I59,"")</f>
        <v/>
      </c>
      <c r="J59" s="145" t="str">
        <f>IF('Saisie des valeurs'!J59&lt;&gt;"",'Saisie des valeurs'!J59,"")</f>
        <v/>
      </c>
    </row>
    <row r="60" spans="2:25" ht="15">
      <c r="D60" s="36"/>
      <c r="E60" s="32"/>
      <c r="F60" s="8"/>
      <c r="G60" s="143" t="str">
        <f>IF('Saisie des valeurs'!G60&lt;&gt;"",'Saisie des valeurs'!G60,"")</f>
        <v/>
      </c>
      <c r="H60" s="144" t="str">
        <f>IF('Saisie des valeurs'!H60&lt;&gt;"",'Saisie des valeurs'!H60,"")</f>
        <v/>
      </c>
      <c r="I60" s="144" t="str">
        <f>IF('Saisie des valeurs'!I60&lt;&gt;"",'Saisie des valeurs'!I60,"")</f>
        <v/>
      </c>
      <c r="J60" s="145" t="str">
        <f>IF('Saisie des valeurs'!J60&lt;&gt;"",'Saisie des valeurs'!J60,"")</f>
        <v/>
      </c>
    </row>
    <row r="61" spans="2:25" ht="15">
      <c r="D61" s="31"/>
      <c r="E61" s="32"/>
      <c r="F61" s="8"/>
      <c r="G61" s="143" t="str">
        <f>IF('Saisie des valeurs'!G61&lt;&gt;"",'Saisie des valeurs'!G61,"")</f>
        <v/>
      </c>
      <c r="H61" s="144" t="str">
        <f>IF('Saisie des valeurs'!H61&lt;&gt;"",'Saisie des valeurs'!H61,"")</f>
        <v/>
      </c>
      <c r="I61" s="144" t="str">
        <f>IF('Saisie des valeurs'!I61&lt;&gt;"",'Saisie des valeurs'!I61,"")</f>
        <v/>
      </c>
      <c r="J61" s="145" t="str">
        <f>IF('Saisie des valeurs'!J61&lt;&gt;"",'Saisie des valeurs'!J61,"")</f>
        <v/>
      </c>
    </row>
    <row r="62" spans="2:25" ht="15">
      <c r="D62" s="34"/>
      <c r="E62" s="35"/>
      <c r="F62" s="8"/>
      <c r="G62" s="151" t="str">
        <f>IF('Saisie des valeurs'!G62&lt;&gt;"",'Saisie des valeurs'!G62,"")</f>
        <v/>
      </c>
      <c r="H62" s="152" t="str">
        <f>IF('Saisie des valeurs'!H62&lt;&gt;"",'Saisie des valeurs'!H62,"")</f>
        <v/>
      </c>
      <c r="I62" s="152" t="str">
        <f>IF('Saisie des valeurs'!I62&lt;&gt;"",'Saisie des valeurs'!I62,"")</f>
        <v/>
      </c>
      <c r="J62" s="153" t="str">
        <f>IF('Saisie des valeurs'!J62&lt;&gt;"",'Saisie des valeurs'!J62,"")</f>
        <v/>
      </c>
    </row>
    <row r="63" spans="2:25" ht="15">
      <c r="C63" s="2"/>
      <c r="D63" s="2"/>
      <c r="E63" s="8"/>
      <c r="F63" s="8"/>
      <c r="G63" s="8"/>
      <c r="H63" s="8"/>
      <c r="I63" s="8"/>
    </row>
    <row r="64" spans="2:25" ht="15">
      <c r="C64" s="2"/>
      <c r="D64" s="2"/>
      <c r="E64" s="2"/>
      <c r="F64" s="2"/>
      <c r="G64" s="2"/>
      <c r="H64" s="2"/>
      <c r="I64" s="8"/>
    </row>
    <row r="65" spans="2:10">
      <c r="B65" s="112"/>
      <c r="C65" s="112"/>
      <c r="D65" s="112"/>
      <c r="E65" s="112"/>
      <c r="F65" s="112"/>
      <c r="G65" s="112"/>
      <c r="H65" s="112"/>
      <c r="I65" s="112"/>
      <c r="J65" s="112"/>
    </row>
    <row r="66" spans="2:10" ht="15" customHeight="1">
      <c r="B66" s="131" t="s">
        <v>74</v>
      </c>
      <c r="C66" s="131"/>
      <c r="D66" s="131"/>
      <c r="E66" s="131"/>
      <c r="F66" s="131"/>
      <c r="G66" s="131"/>
      <c r="H66" s="131"/>
      <c r="I66" s="131"/>
      <c r="J66" s="131"/>
    </row>
    <row r="67" spans="2:10" ht="15">
      <c r="B67" s="8"/>
      <c r="C67" s="8"/>
      <c r="D67" s="8"/>
      <c r="E67" s="8"/>
      <c r="F67" s="8"/>
      <c r="G67" s="8"/>
      <c r="H67" s="8"/>
      <c r="I67" s="8"/>
    </row>
    <row r="68" spans="2:10" ht="15">
      <c r="B68" s="8"/>
      <c r="C68" s="26"/>
      <c r="D68" s="8"/>
      <c r="E68" s="8"/>
      <c r="F68" s="8"/>
      <c r="G68" s="8"/>
      <c r="H68" s="8"/>
      <c r="I68" s="8"/>
    </row>
    <row r="69" spans="2:10" ht="15">
      <c r="B69" s="8"/>
      <c r="C69" s="8"/>
      <c r="D69" s="8"/>
      <c r="E69" s="8"/>
      <c r="F69" s="8"/>
      <c r="G69" s="8"/>
      <c r="H69" s="8"/>
      <c r="I69" s="8"/>
    </row>
    <row r="73" spans="2:10">
      <c r="B73" s="2"/>
    </row>
  </sheetData>
  <sheetProtection sheet="1" objects="1" scenarios="1"/>
  <mergeCells count="22">
    <mergeCell ref="C5:E5"/>
    <mergeCell ref="B26:C26"/>
    <mergeCell ref="B24:C24"/>
    <mergeCell ref="G18:I18"/>
    <mergeCell ref="B7:J7"/>
    <mergeCell ref="G19:I19"/>
    <mergeCell ref="G20:I20"/>
    <mergeCell ref="B9:C9"/>
    <mergeCell ref="H9:J9"/>
    <mergeCell ref="B25:C25"/>
    <mergeCell ref="F56:I56"/>
    <mergeCell ref="C32:F32"/>
    <mergeCell ref="C30:F30"/>
    <mergeCell ref="C31:F31"/>
    <mergeCell ref="B10:C10"/>
    <mergeCell ref="H10:J10"/>
    <mergeCell ref="B66:J66"/>
    <mergeCell ref="B65:J65"/>
    <mergeCell ref="G59:J59"/>
    <mergeCell ref="G60:J60"/>
    <mergeCell ref="G61:J61"/>
    <mergeCell ref="G62:J62"/>
  </mergeCells>
  <phoneticPr fontId="0" type="noConversion"/>
  <printOptions horizontalCentered="1" verticalCentered="1" gridLinesSet="0"/>
  <pageMargins left="0" right="0" top="0" bottom="0" header="0.35433070866141736" footer="0.27559055118110237"/>
  <pageSetup paperSize="9" scale="79" orientation="portrait" horizontalDpi="4294967294" verticalDpi="4294967292" r:id="rId1"/>
  <headerFooter alignWithMargins="0">
    <oddFooter>&amp;R&amp;D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B1:AA73"/>
  <sheetViews>
    <sheetView showGridLines="0" zoomScale="75" workbookViewId="0">
      <selection activeCell="H27" sqref="H27"/>
    </sheetView>
  </sheetViews>
  <sheetFormatPr baseColWidth="10" defaultRowHeight="12.75"/>
  <cols>
    <col min="1" max="1" width="11.42578125" style="1"/>
    <col min="2" max="2" width="13" style="1" customWidth="1"/>
    <col min="3" max="4" width="15.28515625" style="1" customWidth="1"/>
    <col min="5" max="5" width="16" style="1" customWidth="1"/>
    <col min="6" max="6" width="15.28515625" style="1" customWidth="1"/>
    <col min="7" max="7" width="12.7109375" style="1" customWidth="1"/>
    <col min="8" max="8" width="14.7109375" style="1" customWidth="1"/>
    <col min="9" max="9" width="15.7109375" style="1" customWidth="1"/>
    <col min="10" max="10" width="13.5703125" style="1" customWidth="1"/>
    <col min="11" max="12" width="11.42578125" style="1"/>
    <col min="13" max="14" width="12.5703125" style="1" bestFit="1" customWidth="1"/>
    <col min="15" max="15" width="14.28515625" style="1" customWidth="1"/>
    <col min="16" max="16384" width="11.42578125" style="1"/>
  </cols>
  <sheetData>
    <row r="1" spans="2:10" ht="6" customHeight="1"/>
    <row r="2" spans="2:10" ht="30">
      <c r="B2" s="2"/>
      <c r="F2" s="3" t="s">
        <v>93</v>
      </c>
      <c r="I2" s="4"/>
    </row>
    <row r="3" spans="2:10" ht="9" customHeight="1">
      <c r="B3" s="5"/>
      <c r="I3" s="4"/>
    </row>
    <row r="4" spans="2:10" ht="9" customHeight="1">
      <c r="B4" s="5"/>
      <c r="I4" s="4"/>
    </row>
    <row r="5" spans="2:10" ht="15">
      <c r="B5" s="6" t="s">
        <v>91</v>
      </c>
      <c r="C5" s="150" t="str">
        <f>IF('Saisie des valeurs'!C5:D5&lt;&gt;"",'Saisie des valeurs'!C5:D5,"")</f>
        <v>Client</v>
      </c>
      <c r="D5" s="150"/>
      <c r="E5" s="150"/>
      <c r="F5" s="7"/>
      <c r="G5" s="62"/>
      <c r="H5" s="7" t="s">
        <v>92</v>
      </c>
      <c r="I5" s="78">
        <f ca="1">IF('Saisie des valeurs'!I5:J5&lt;&gt;"",'Saisie des valeurs'!I5:J5,"")</f>
        <v>41907</v>
      </c>
      <c r="J5" s="70"/>
    </row>
    <row r="6" spans="2:10" ht="15">
      <c r="C6" s="48"/>
      <c r="D6" s="41"/>
      <c r="E6" s="41"/>
      <c r="F6" s="49"/>
      <c r="G6" s="50"/>
      <c r="H6" s="52"/>
      <c r="I6" s="52"/>
      <c r="J6" s="8"/>
    </row>
    <row r="7" spans="2:10" ht="15" customHeight="1">
      <c r="B7" s="131"/>
      <c r="C7" s="131"/>
      <c r="D7" s="131"/>
      <c r="E7" s="131"/>
      <c r="F7" s="131"/>
      <c r="G7" s="131"/>
      <c r="H7" s="131"/>
      <c r="I7" s="131"/>
      <c r="J7" s="131"/>
    </row>
    <row r="8" spans="2:10" ht="16.5" thickBot="1">
      <c r="B8" s="9" t="s">
        <v>57</v>
      </c>
      <c r="C8" s="8"/>
      <c r="D8" s="8"/>
      <c r="F8" s="8"/>
      <c r="H8" s="40" t="s">
        <v>94</v>
      </c>
      <c r="I8" s="8"/>
      <c r="J8" s="8"/>
    </row>
    <row r="9" spans="2:10">
      <c r="B9" s="137" t="s">
        <v>95</v>
      </c>
      <c r="C9" s="140"/>
      <c r="D9" s="74"/>
      <c r="H9" s="137" t="s">
        <v>95</v>
      </c>
      <c r="I9" s="138" t="s">
        <v>18</v>
      </c>
      <c r="J9" s="140" t="s">
        <v>2</v>
      </c>
    </row>
    <row r="10" spans="2:10" ht="13.5" thickBot="1">
      <c r="B10" s="146" t="str">
        <f>IF('Saisie des valeurs'!B10&lt;&gt;"",'Saisie des valeurs'!B10,"")</f>
        <v>3R Conditionneur n°2013-01-057</v>
      </c>
      <c r="C10" s="148"/>
      <c r="D10" s="74"/>
      <c r="H10" s="146" t="str">
        <f>IF('Saisie des valeurs'!H10&lt;&gt;"",'Saisie des valeurs'!H10,"")</f>
        <v>HBM 2000kN N° H32636</v>
      </c>
      <c r="I10" s="147" t="str">
        <f>IF('Saisie des valeurs'!J10&lt;&gt;"",'Saisie des valeurs'!J10,"")</f>
        <v/>
      </c>
      <c r="J10" s="148" t="e">
        <f>IF('Saisie des valeurs'!#REF!&lt;&gt;"",'Saisie des valeurs'!#REF!,"")</f>
        <v>#REF!</v>
      </c>
    </row>
    <row r="11" spans="2:10">
      <c r="C11" s="51"/>
      <c r="D11" s="51"/>
      <c r="E11" s="51"/>
      <c r="J11" s="2"/>
    </row>
    <row r="12" spans="2:10">
      <c r="C12" s="51"/>
      <c r="D12" s="51"/>
      <c r="E12" s="51"/>
      <c r="J12" s="2"/>
    </row>
    <row r="13" spans="2:10" ht="16.5" thickBot="1">
      <c r="B13" s="40" t="s">
        <v>16</v>
      </c>
      <c r="I13" s="2"/>
      <c r="J13" s="2"/>
    </row>
    <row r="14" spans="2:10">
      <c r="B14" s="10" t="s">
        <v>97</v>
      </c>
      <c r="C14" s="11" t="s">
        <v>96</v>
      </c>
    </row>
    <row r="15" spans="2:10" ht="13.5" thickBot="1">
      <c r="B15" s="75" t="str">
        <f>IF('Saisie des valeurs'!B15&lt;&gt;"",'Saisie des valeurs'!B15,"")</f>
        <v/>
      </c>
      <c r="C15" s="65" t="str">
        <f>IF('Saisie des valeurs'!C15&lt;&gt;"",'Saisie des valeurs'!C15,"")</f>
        <v/>
      </c>
    </row>
    <row r="16" spans="2:10" ht="15">
      <c r="C16" s="51"/>
      <c r="D16" s="51"/>
      <c r="E16" s="51"/>
      <c r="I16" s="51"/>
      <c r="J16" s="8"/>
    </row>
    <row r="17" spans="2:27" ht="16.5" thickBot="1">
      <c r="B17" s="40" t="s">
        <v>98</v>
      </c>
      <c r="E17" s="8"/>
      <c r="G17" s="40" t="s">
        <v>63</v>
      </c>
      <c r="H17" s="40"/>
      <c r="I17" s="8"/>
      <c r="Q17" s="74"/>
      <c r="Y17" s="1">
        <v>0.5</v>
      </c>
      <c r="Z17" s="1">
        <f>0.5/100</f>
        <v>5.0000000000000001E-3</v>
      </c>
      <c r="AA17" s="1">
        <v>5.0000000000000001E-3</v>
      </c>
    </row>
    <row r="18" spans="2:27">
      <c r="B18" s="12" t="s">
        <v>99</v>
      </c>
      <c r="C18" s="13" t="s">
        <v>97</v>
      </c>
      <c r="D18" s="13" t="s">
        <v>96</v>
      </c>
      <c r="E18" s="11" t="s">
        <v>100</v>
      </c>
      <c r="F18" s="74"/>
      <c r="G18" s="137" t="s">
        <v>40</v>
      </c>
      <c r="H18" s="138"/>
      <c r="I18" s="139"/>
      <c r="J18" s="11" t="s">
        <v>96</v>
      </c>
      <c r="Q18" s="74"/>
      <c r="Y18" s="1">
        <v>1</v>
      </c>
      <c r="Z18" s="1">
        <v>0.01</v>
      </c>
      <c r="AA18" s="1">
        <v>0.01</v>
      </c>
    </row>
    <row r="19" spans="2:27">
      <c r="B19" s="16"/>
      <c r="C19" s="15"/>
      <c r="D19" s="15"/>
      <c r="E19" s="14" t="s">
        <v>39</v>
      </c>
      <c r="F19" s="74"/>
      <c r="G19" s="141"/>
      <c r="H19" s="131"/>
      <c r="I19" s="142"/>
      <c r="J19" s="14"/>
      <c r="Q19" s="74"/>
      <c r="Y19" s="1">
        <v>2</v>
      </c>
      <c r="Z19" s="1">
        <v>0.02</v>
      </c>
      <c r="AA19" s="1">
        <v>0.02</v>
      </c>
    </row>
    <row r="20" spans="2:27" ht="13.5" thickBot="1">
      <c r="B20" s="63" t="str">
        <f>IF('Saisie des valeurs'!B20&lt;&gt;"",'Saisie des valeurs'!B20,"")</f>
        <v/>
      </c>
      <c r="C20" s="64" t="str">
        <f>IF('Saisie des valeurs'!C20&lt;&gt;"",'Saisie des valeurs'!C20,"")</f>
        <v/>
      </c>
      <c r="D20" s="64" t="str">
        <f>IF('Saisie des valeurs'!D20&lt;&gt;"",'Saisie des valeurs'!D20,"")</f>
        <v/>
      </c>
      <c r="E20" s="65" t="str">
        <f>IF('Saisie des valeurs'!E20&lt;&gt;"",'Saisie des valeurs'!E20,"")</f>
        <v/>
      </c>
      <c r="F20" s="74"/>
      <c r="G20" s="146" t="str">
        <f>IF('Saisie des valeurs'!G20&lt;&gt;"",'Saisie des valeurs'!G20,"")</f>
        <v/>
      </c>
      <c r="H20" s="147"/>
      <c r="I20" s="149"/>
      <c r="J20" s="83" t="str">
        <f>IF('Saisie des valeurs'!J20&lt;&gt;"",'Saisie des valeurs'!J20,"")</f>
        <v/>
      </c>
      <c r="Q20" s="74"/>
    </row>
    <row r="21" spans="2:27">
      <c r="B21" s="51"/>
      <c r="C21" s="51"/>
      <c r="D21" s="51"/>
      <c r="E21" s="51"/>
      <c r="F21" s="51"/>
      <c r="H21" s="51"/>
      <c r="I21" s="51"/>
      <c r="J21" s="51"/>
    </row>
    <row r="22" spans="2:27">
      <c r="B22" s="51"/>
      <c r="C22" s="51"/>
      <c r="D22" s="51"/>
      <c r="E22" s="51"/>
      <c r="F22" s="51"/>
      <c r="H22" s="51"/>
      <c r="I22" s="51"/>
      <c r="J22" s="51"/>
    </row>
    <row r="23" spans="2:27" ht="15.75" thickBot="1">
      <c r="B23" s="8"/>
      <c r="C23" s="8"/>
      <c r="D23" s="8"/>
      <c r="E23" s="8"/>
      <c r="F23" s="8"/>
      <c r="G23" s="8"/>
      <c r="H23" s="8"/>
      <c r="I23" s="8"/>
      <c r="J23" s="8"/>
    </row>
    <row r="24" spans="2:27" ht="15">
      <c r="B24" s="137" t="s">
        <v>101</v>
      </c>
      <c r="C24" s="139"/>
      <c r="D24" s="13" t="s">
        <v>102</v>
      </c>
      <c r="E24" s="13" t="s">
        <v>104</v>
      </c>
      <c r="F24" s="11" t="s">
        <v>105</v>
      </c>
      <c r="G24" s="8"/>
      <c r="H24" s="8"/>
      <c r="I24" s="8"/>
    </row>
    <row r="25" spans="2:27" ht="15">
      <c r="B25" s="116"/>
      <c r="C25" s="117"/>
      <c r="D25" s="15" t="s">
        <v>103</v>
      </c>
      <c r="E25" s="15" t="s">
        <v>39</v>
      </c>
      <c r="F25" s="14" t="s">
        <v>42</v>
      </c>
      <c r="G25" s="8"/>
      <c r="H25" s="8"/>
      <c r="I25" s="8"/>
    </row>
    <row r="26" spans="2:27" ht="15.75" thickBot="1">
      <c r="B26" s="146" t="str">
        <f>IF('Saisie des valeurs'!B26&lt;&gt;"",'Saisie des valeurs'!B26,"")</f>
        <v/>
      </c>
      <c r="C26" s="149" t="str">
        <f>IF('Saisie des valeurs'!C26&lt;&gt;"",'Saisie des valeurs'!C26,"")</f>
        <v/>
      </c>
      <c r="D26" s="64" t="str">
        <f>IF('Saisie des valeurs'!D26&lt;&gt;"",'Saisie des valeurs'!D26,"")</f>
        <v/>
      </c>
      <c r="E26" s="64" t="str">
        <f>IF('Saisie des valeurs'!E26&lt;&gt;"",'Saisie des valeurs'!E26,"")</f>
        <v/>
      </c>
      <c r="F26" s="65" t="str">
        <f>IF('Saisie des valeurs'!F26&lt;&gt;"",'Saisie des valeurs'!F26,"")</f>
        <v/>
      </c>
      <c r="G26" s="8"/>
      <c r="H26" s="8"/>
      <c r="I26" s="8"/>
    </row>
    <row r="27" spans="2:27" ht="15">
      <c r="B27" s="8"/>
      <c r="C27" s="8"/>
      <c r="D27" s="8"/>
      <c r="E27" s="8"/>
      <c r="F27" s="8"/>
      <c r="G27" s="8"/>
      <c r="H27" s="8"/>
      <c r="I27" s="8"/>
      <c r="J27" s="8"/>
    </row>
    <row r="28" spans="2:27" ht="15">
      <c r="B28" s="8"/>
      <c r="C28" s="8"/>
      <c r="D28" s="8"/>
      <c r="E28" s="8"/>
      <c r="F28" s="8"/>
      <c r="G28" s="8"/>
      <c r="H28" s="8"/>
      <c r="I28" s="8"/>
      <c r="J28" s="8"/>
    </row>
    <row r="29" spans="2:27" ht="15">
      <c r="B29" s="8"/>
      <c r="C29" s="8"/>
      <c r="D29" s="8"/>
      <c r="E29" s="8"/>
      <c r="F29" s="8"/>
      <c r="G29" s="8"/>
      <c r="H29" s="8"/>
      <c r="I29" s="8"/>
      <c r="J29" s="8"/>
    </row>
    <row r="30" spans="2:27" ht="15.75" customHeight="1">
      <c r="B30" s="17" t="s">
        <v>106</v>
      </c>
      <c r="C30" s="132" t="s">
        <v>167</v>
      </c>
      <c r="D30" s="133"/>
      <c r="E30" s="133"/>
      <c r="F30" s="134"/>
      <c r="G30" s="18"/>
      <c r="H30" s="17"/>
      <c r="I30" s="17"/>
      <c r="J30" s="17"/>
      <c r="V30" s="17"/>
      <c r="W30" s="17"/>
      <c r="X30" s="17"/>
      <c r="Y30" s="17"/>
    </row>
    <row r="31" spans="2:27" ht="15.75" customHeight="1">
      <c r="B31" s="19" t="s">
        <v>166</v>
      </c>
      <c r="C31" s="122"/>
      <c r="D31" s="123"/>
      <c r="E31" s="123"/>
      <c r="F31" s="124"/>
      <c r="G31" s="20" t="s">
        <v>67</v>
      </c>
      <c r="H31" s="19" t="s">
        <v>68</v>
      </c>
      <c r="I31" s="19" t="s">
        <v>35</v>
      </c>
      <c r="J31" s="19" t="s">
        <v>108</v>
      </c>
      <c r="V31" s="19"/>
      <c r="W31" s="19"/>
      <c r="X31" s="19"/>
      <c r="Y31" s="19"/>
    </row>
    <row r="32" spans="2:27" ht="18" customHeight="1">
      <c r="B32" s="21" t="s">
        <v>39</v>
      </c>
      <c r="C32" s="125" t="s">
        <v>39</v>
      </c>
      <c r="D32" s="126"/>
      <c r="E32" s="126"/>
      <c r="F32" s="127"/>
      <c r="G32" s="20" t="s">
        <v>7</v>
      </c>
      <c r="H32" s="19" t="s">
        <v>7</v>
      </c>
      <c r="I32" s="19" t="s">
        <v>39</v>
      </c>
      <c r="J32" s="19"/>
      <c r="V32" s="19"/>
      <c r="W32" s="19"/>
      <c r="X32" s="46"/>
      <c r="Y32" s="46"/>
    </row>
    <row r="33" spans="2:25" ht="15.75">
      <c r="B33" s="22"/>
      <c r="C33" s="22">
        <v>1</v>
      </c>
      <c r="D33" s="22">
        <v>2</v>
      </c>
      <c r="E33" s="22">
        <v>3</v>
      </c>
      <c r="F33" s="22" t="s">
        <v>107</v>
      </c>
      <c r="G33" s="71"/>
      <c r="H33" s="22"/>
      <c r="I33" s="22"/>
      <c r="J33" s="22"/>
      <c r="V33" s="21"/>
      <c r="W33" s="21"/>
      <c r="X33" s="47"/>
      <c r="Y33" s="47"/>
    </row>
    <row r="34" spans="2:25" ht="15">
      <c r="B34" s="66" t="str">
        <f>IF('Saisie des valeurs'!B34&lt;&gt;"",'Saisie des valeurs'!B34,"")</f>
        <v/>
      </c>
      <c r="C34" s="76" t="str">
        <f>IF('Saisie des valeurs'!C34&lt;&gt;"",ROUND('Saisie des valeurs'!C34,ABS(LOG10('Saisie des valeurs'!$I34))),"")</f>
        <v/>
      </c>
      <c r="D34" s="76" t="str">
        <f>IF('Saisie des valeurs'!D34&lt;&gt;"",ROUND('Saisie des valeurs'!D34,ABS(LOG10('Saisie des valeurs'!$I34))),"")</f>
        <v/>
      </c>
      <c r="E34" s="76" t="str">
        <f>IF('Saisie des valeurs'!E34&lt;&gt;"",ROUND('Saisie des valeurs'!E34,ABS(LOG10('Saisie des valeurs'!$I34))),"")</f>
        <v/>
      </c>
      <c r="F34" s="80" t="str">
        <f>IF('Saisie des valeurs'!F34&lt;&gt;"",ROUND('Saisie des valeurs'!F34,ABS(LOG10('Saisie des valeurs'!$I34))),"")</f>
        <v/>
      </c>
      <c r="G34" s="23" t="str">
        <f>IF('Saisie des valeurs'!G34&lt;&gt;"",'Saisie des valeurs'!G34,"")</f>
        <v/>
      </c>
      <c r="H34" s="24" t="str">
        <f>IF('Saisie des valeurs'!H34&lt;&gt;"",'Saisie des valeurs'!H34,"")</f>
        <v/>
      </c>
      <c r="I34" s="56" t="str">
        <f>IF('Saisie des valeurs'!I34&lt;&gt;"",'Saisie des valeurs'!I34,"")</f>
        <v/>
      </c>
      <c r="J34" s="58" t="str">
        <f>IF('Saisie des valeurs'!J34&lt;&gt;"",'Saisie des valeurs'!J34,"")</f>
        <v/>
      </c>
      <c r="V34" s="24"/>
      <c r="W34" s="24"/>
      <c r="X34" s="53"/>
      <c r="Y34" s="53"/>
    </row>
    <row r="35" spans="2:25" ht="15">
      <c r="B35" s="66" t="str">
        <f>IF('Saisie des valeurs'!B35&lt;&gt;"",'Saisie des valeurs'!B35,"")</f>
        <v/>
      </c>
      <c r="C35" s="76" t="str">
        <f>IF('Saisie des valeurs'!C35&lt;&gt;"",ROUND('Saisie des valeurs'!C35,ABS(LOG10('Saisie des valeurs'!$I35))),"")</f>
        <v/>
      </c>
      <c r="D35" s="76" t="str">
        <f>IF('Saisie des valeurs'!D35&lt;&gt;"",ROUND('Saisie des valeurs'!D35,ABS(LOG10('Saisie des valeurs'!$I35))),"")</f>
        <v/>
      </c>
      <c r="E35" s="76" t="str">
        <f>IF('Saisie des valeurs'!E35&lt;&gt;"",ROUND('Saisie des valeurs'!E35,ABS(LOG10('Saisie des valeurs'!$I35))),"")</f>
        <v/>
      </c>
      <c r="F35" s="80" t="str">
        <f>IF('Saisie des valeurs'!F35&lt;&gt;"",ROUND('Saisie des valeurs'!F35,ABS(LOG10('Saisie des valeurs'!$I35))),"")</f>
        <v/>
      </c>
      <c r="G35" s="23" t="str">
        <f>IF('Saisie des valeurs'!G35&lt;&gt;"",'Saisie des valeurs'!G35,"")</f>
        <v/>
      </c>
      <c r="H35" s="24" t="str">
        <f>IF('Saisie des valeurs'!H35&lt;&gt;"",'Saisie des valeurs'!H35,"")</f>
        <v/>
      </c>
      <c r="I35" s="56" t="str">
        <f>IF('Saisie des valeurs'!I35&lt;&gt;"",'Saisie des valeurs'!I35,"")</f>
        <v/>
      </c>
      <c r="J35" s="56" t="str">
        <f>IF('Saisie des valeurs'!J35&lt;&gt;"",'Saisie des valeurs'!J35,"")</f>
        <v/>
      </c>
      <c r="V35" s="24"/>
      <c r="W35" s="24"/>
      <c r="X35" s="54"/>
      <c r="Y35" s="54"/>
    </row>
    <row r="36" spans="2:25" ht="15">
      <c r="B36" s="66" t="str">
        <f>IF('Saisie des valeurs'!B36&lt;&gt;"",'Saisie des valeurs'!B36,"")</f>
        <v/>
      </c>
      <c r="C36" s="76" t="str">
        <f>IF('Saisie des valeurs'!C36&lt;&gt;"",ROUND('Saisie des valeurs'!C36,ABS(LOG10('Saisie des valeurs'!$I36))),"")</f>
        <v/>
      </c>
      <c r="D36" s="76" t="str">
        <f>IF('Saisie des valeurs'!D36&lt;&gt;"",ROUND('Saisie des valeurs'!D36,ABS(LOG10('Saisie des valeurs'!$I36))),"")</f>
        <v/>
      </c>
      <c r="E36" s="76" t="str">
        <f>IF('Saisie des valeurs'!E36&lt;&gt;"",ROUND('Saisie des valeurs'!E36,ABS(LOG10('Saisie des valeurs'!$I36))),"")</f>
        <v/>
      </c>
      <c r="F36" s="80" t="str">
        <f>IF('Saisie des valeurs'!F36&lt;&gt;"",ROUND('Saisie des valeurs'!F36,ABS(LOG10('Saisie des valeurs'!$I36))),"")</f>
        <v/>
      </c>
      <c r="G36" s="23" t="str">
        <f>IF('Saisie des valeurs'!G36&lt;&gt;"",'Saisie des valeurs'!G36,"")</f>
        <v/>
      </c>
      <c r="H36" s="24" t="str">
        <f>IF('Saisie des valeurs'!H36&lt;&gt;"",'Saisie des valeurs'!H36,"")</f>
        <v/>
      </c>
      <c r="I36" s="56" t="str">
        <f>IF('Saisie des valeurs'!I36&lt;&gt;"",'Saisie des valeurs'!I36,"")</f>
        <v/>
      </c>
      <c r="J36" s="56" t="str">
        <f>IF('Saisie des valeurs'!J36&lt;&gt;"",'Saisie des valeurs'!J36,"")</f>
        <v/>
      </c>
      <c r="V36" s="24"/>
      <c r="W36" s="24"/>
      <c r="X36" s="54"/>
      <c r="Y36" s="54"/>
    </row>
    <row r="37" spans="2:25" ht="15">
      <c r="B37" s="66" t="str">
        <f>IF('Saisie des valeurs'!B37&lt;&gt;"",'Saisie des valeurs'!B37,"")</f>
        <v/>
      </c>
      <c r="C37" s="76" t="str">
        <f>IF('Saisie des valeurs'!C37&lt;&gt;"",ROUND('Saisie des valeurs'!C37,ABS(LOG10('Saisie des valeurs'!$I37))),"")</f>
        <v/>
      </c>
      <c r="D37" s="76" t="str">
        <f>IF('Saisie des valeurs'!D37&lt;&gt;"",ROUND('Saisie des valeurs'!D37,ABS(LOG10('Saisie des valeurs'!$I37))),"")</f>
        <v/>
      </c>
      <c r="E37" s="76" t="str">
        <f>IF('Saisie des valeurs'!E37&lt;&gt;"",ROUND('Saisie des valeurs'!E37,ABS(LOG10('Saisie des valeurs'!$I37))),"")</f>
        <v/>
      </c>
      <c r="F37" s="80" t="str">
        <f>IF('Saisie des valeurs'!F37&lt;&gt;"",ROUND('Saisie des valeurs'!F37,ABS(LOG10('Saisie des valeurs'!$I37))),"")</f>
        <v/>
      </c>
      <c r="G37" s="23" t="str">
        <f>IF('Saisie des valeurs'!G37&lt;&gt;"",'Saisie des valeurs'!G37,"")</f>
        <v/>
      </c>
      <c r="H37" s="24" t="str">
        <f>IF('Saisie des valeurs'!H37&lt;&gt;"",'Saisie des valeurs'!H37,"")</f>
        <v/>
      </c>
      <c r="I37" s="56" t="str">
        <f>IF('Saisie des valeurs'!I37&lt;&gt;"",'Saisie des valeurs'!I37,"")</f>
        <v/>
      </c>
      <c r="J37" s="56" t="str">
        <f>IF('Saisie des valeurs'!J37&lt;&gt;"",'Saisie des valeurs'!J37,"")</f>
        <v/>
      </c>
      <c r="V37" s="24"/>
      <c r="W37" s="24"/>
      <c r="X37" s="54"/>
      <c r="Y37" s="54"/>
    </row>
    <row r="38" spans="2:25" ht="15">
      <c r="B38" s="66" t="str">
        <f>IF('Saisie des valeurs'!B38&lt;&gt;"",'Saisie des valeurs'!B38,"")</f>
        <v/>
      </c>
      <c r="C38" s="76" t="str">
        <f>IF('Saisie des valeurs'!C38&lt;&gt;"",ROUND('Saisie des valeurs'!C38,ABS(LOG10('Saisie des valeurs'!$I38))),"")</f>
        <v/>
      </c>
      <c r="D38" s="76" t="str">
        <f>IF('Saisie des valeurs'!D38&lt;&gt;"",ROUND('Saisie des valeurs'!D38,ABS(LOG10('Saisie des valeurs'!$I38))),"")</f>
        <v/>
      </c>
      <c r="E38" s="76" t="str">
        <f>IF('Saisie des valeurs'!E38&lt;&gt;"",ROUND('Saisie des valeurs'!E38,ABS(LOG10('Saisie des valeurs'!$I38))),"")</f>
        <v/>
      </c>
      <c r="F38" s="80" t="str">
        <f>IF('Saisie des valeurs'!F38&lt;&gt;"",ROUND('Saisie des valeurs'!F38,ABS(LOG10('Saisie des valeurs'!$I38))),"")</f>
        <v/>
      </c>
      <c r="G38" s="23" t="str">
        <f>IF('Saisie des valeurs'!G38&lt;&gt;"",'Saisie des valeurs'!G38,"")</f>
        <v/>
      </c>
      <c r="H38" s="24" t="str">
        <f>IF('Saisie des valeurs'!H38&lt;&gt;"",'Saisie des valeurs'!H38,"")</f>
        <v/>
      </c>
      <c r="I38" s="56" t="str">
        <f>IF('Saisie des valeurs'!I38&lt;&gt;"",'Saisie des valeurs'!I38,"")</f>
        <v/>
      </c>
      <c r="J38" s="56" t="str">
        <f>IF('Saisie des valeurs'!J38&lt;&gt;"",'Saisie des valeurs'!J38,"")</f>
        <v/>
      </c>
      <c r="V38" s="24"/>
      <c r="W38" s="24"/>
      <c r="X38" s="54"/>
      <c r="Y38" s="54"/>
    </row>
    <row r="39" spans="2:25" ht="15">
      <c r="B39" s="66" t="str">
        <f>IF('Saisie des valeurs'!B39&lt;&gt;"",'Saisie des valeurs'!B39,"")</f>
        <v/>
      </c>
      <c r="C39" s="76" t="str">
        <f>IF('Saisie des valeurs'!C39&lt;&gt;"",ROUND('Saisie des valeurs'!C39,ABS(LOG10('Saisie des valeurs'!$I39))),"")</f>
        <v/>
      </c>
      <c r="D39" s="76" t="str">
        <f>IF('Saisie des valeurs'!D39&lt;&gt;"",ROUND('Saisie des valeurs'!D39,ABS(LOG10('Saisie des valeurs'!$I39))),"")</f>
        <v/>
      </c>
      <c r="E39" s="76" t="str">
        <f>IF('Saisie des valeurs'!E39&lt;&gt;"",ROUND('Saisie des valeurs'!E39,ABS(LOG10('Saisie des valeurs'!$I39))),"")</f>
        <v/>
      </c>
      <c r="F39" s="80" t="str">
        <f>IF('Saisie des valeurs'!F39&lt;&gt;"",ROUND('Saisie des valeurs'!F39,ABS(LOG10('Saisie des valeurs'!$I39))),"")</f>
        <v/>
      </c>
      <c r="G39" s="23" t="str">
        <f>IF('Saisie des valeurs'!G39&lt;&gt;"",'Saisie des valeurs'!G39,"")</f>
        <v/>
      </c>
      <c r="H39" s="24" t="str">
        <f>IF('Saisie des valeurs'!H39&lt;&gt;"",'Saisie des valeurs'!H39,"")</f>
        <v/>
      </c>
      <c r="I39" s="56" t="str">
        <f>IF('Saisie des valeurs'!I39&lt;&gt;"",'Saisie des valeurs'!I39,"")</f>
        <v/>
      </c>
      <c r="J39" s="56" t="str">
        <f>IF('Saisie des valeurs'!J39&lt;&gt;"",'Saisie des valeurs'!J39,"")</f>
        <v/>
      </c>
      <c r="V39" s="24"/>
      <c r="W39" s="24"/>
      <c r="X39" s="54"/>
      <c r="Y39" s="54"/>
    </row>
    <row r="40" spans="2:25" ht="15">
      <c r="B40" s="66" t="str">
        <f>IF('Saisie des valeurs'!B40&lt;&gt;"",'Saisie des valeurs'!B40,"")</f>
        <v/>
      </c>
      <c r="C40" s="76" t="str">
        <f>IF('Saisie des valeurs'!C40&lt;&gt;"",ROUND('Saisie des valeurs'!C40,ABS(LOG10('Saisie des valeurs'!$I40))),"")</f>
        <v/>
      </c>
      <c r="D40" s="76" t="str">
        <f>IF('Saisie des valeurs'!D40&lt;&gt;"",ROUND('Saisie des valeurs'!D40,ABS(LOG10('Saisie des valeurs'!$I40))),"")</f>
        <v/>
      </c>
      <c r="E40" s="76" t="str">
        <f>IF('Saisie des valeurs'!E40&lt;&gt;"",ROUND('Saisie des valeurs'!E40,ABS(LOG10('Saisie des valeurs'!$I40))),"")</f>
        <v/>
      </c>
      <c r="F40" s="80" t="str">
        <f>IF('Saisie des valeurs'!F40&lt;&gt;"",ROUND('Saisie des valeurs'!F40,ABS(LOG10('Saisie des valeurs'!$I40))),"")</f>
        <v/>
      </c>
      <c r="G40" s="23" t="str">
        <f>IF('Saisie des valeurs'!G40&lt;&gt;"",'Saisie des valeurs'!G40,"")</f>
        <v/>
      </c>
      <c r="H40" s="24" t="str">
        <f>IF('Saisie des valeurs'!H40&lt;&gt;"",'Saisie des valeurs'!H40,"")</f>
        <v/>
      </c>
      <c r="I40" s="56" t="str">
        <f>IF('Saisie des valeurs'!I40&lt;&gt;"",'Saisie des valeurs'!I40,"")</f>
        <v/>
      </c>
      <c r="J40" s="56" t="str">
        <f>IF('Saisie des valeurs'!J40&lt;&gt;"",'Saisie des valeurs'!J40,"")</f>
        <v/>
      </c>
      <c r="V40" s="24"/>
      <c r="W40" s="24"/>
      <c r="X40" s="54"/>
      <c r="Y40" s="54"/>
    </row>
    <row r="41" spans="2:25" ht="15">
      <c r="B41" s="66" t="str">
        <f>IF('Saisie des valeurs'!B41&lt;&gt;"",'Saisie des valeurs'!B41,"")</f>
        <v/>
      </c>
      <c r="C41" s="76" t="str">
        <f>IF('Saisie des valeurs'!C41&lt;&gt;"",ROUND('Saisie des valeurs'!C41,ABS(LOG10('Saisie des valeurs'!$I41))),"")</f>
        <v/>
      </c>
      <c r="D41" s="76" t="str">
        <f>IF('Saisie des valeurs'!D41&lt;&gt;"",ROUND('Saisie des valeurs'!D41,ABS(LOG10('Saisie des valeurs'!$I41))),"")</f>
        <v/>
      </c>
      <c r="E41" s="76" t="str">
        <f>IF('Saisie des valeurs'!E41&lt;&gt;"",ROUND('Saisie des valeurs'!E41,ABS(LOG10('Saisie des valeurs'!$I41))),"")</f>
        <v/>
      </c>
      <c r="F41" s="80" t="str">
        <f>IF('Saisie des valeurs'!F41&lt;&gt;"",ROUND('Saisie des valeurs'!F41,ABS(LOG10('Saisie des valeurs'!$I41))),"")</f>
        <v/>
      </c>
      <c r="G41" s="23" t="str">
        <f>IF('Saisie des valeurs'!G41&lt;&gt;"",'Saisie des valeurs'!G41,"")</f>
        <v/>
      </c>
      <c r="H41" s="24" t="str">
        <f>IF('Saisie des valeurs'!H41&lt;&gt;"",'Saisie des valeurs'!H41,"")</f>
        <v/>
      </c>
      <c r="I41" s="56" t="str">
        <f>IF('Saisie des valeurs'!I41&lt;&gt;"",'Saisie des valeurs'!I41,"")</f>
        <v/>
      </c>
      <c r="J41" s="56" t="str">
        <f>IF('Saisie des valeurs'!J41&lt;&gt;"",'Saisie des valeurs'!J41,"")</f>
        <v/>
      </c>
      <c r="V41" s="24"/>
      <c r="W41" s="24"/>
      <c r="X41" s="54"/>
      <c r="Y41" s="54"/>
    </row>
    <row r="42" spans="2:25" ht="15">
      <c r="B42" s="66" t="str">
        <f>IF('Saisie des valeurs'!B42&lt;&gt;"",'Saisie des valeurs'!B42,"")</f>
        <v/>
      </c>
      <c r="C42" s="76" t="str">
        <f>IF('Saisie des valeurs'!C42&lt;&gt;"",ROUND('Saisie des valeurs'!C42,ABS(LOG10('Saisie des valeurs'!$I42))),"")</f>
        <v/>
      </c>
      <c r="D42" s="76" t="str">
        <f>IF('Saisie des valeurs'!D42&lt;&gt;"",ROUND('Saisie des valeurs'!D42,ABS(LOG10('Saisie des valeurs'!$I42))),"")</f>
        <v/>
      </c>
      <c r="E42" s="76" t="str">
        <f>IF('Saisie des valeurs'!E42&lt;&gt;"",ROUND('Saisie des valeurs'!E42,ABS(LOG10('Saisie des valeurs'!$I42))),"")</f>
        <v/>
      </c>
      <c r="F42" s="80" t="str">
        <f>IF('Saisie des valeurs'!F42&lt;&gt;"",ROUND('Saisie des valeurs'!F42,ABS(LOG10('Saisie des valeurs'!$I42))),"")</f>
        <v/>
      </c>
      <c r="G42" s="23" t="str">
        <f>IF('Saisie des valeurs'!G42&lt;&gt;"",'Saisie des valeurs'!G42,"")</f>
        <v/>
      </c>
      <c r="H42" s="24" t="str">
        <f>IF('Saisie des valeurs'!H42&lt;&gt;"",'Saisie des valeurs'!H42,"")</f>
        <v/>
      </c>
      <c r="I42" s="56" t="str">
        <f>IF('Saisie des valeurs'!I42&lt;&gt;"",'Saisie des valeurs'!I42,"")</f>
        <v/>
      </c>
      <c r="J42" s="56" t="str">
        <f>IF('Saisie des valeurs'!J42&lt;&gt;"",'Saisie des valeurs'!J42,"")</f>
        <v/>
      </c>
      <c r="V42" s="24"/>
      <c r="W42" s="24"/>
      <c r="X42" s="54"/>
      <c r="Y42" s="54"/>
    </row>
    <row r="43" spans="2:25" ht="15">
      <c r="B43" s="66" t="str">
        <f>IF('Saisie des valeurs'!B43&lt;&gt;"",'Saisie des valeurs'!B43,"")</f>
        <v/>
      </c>
      <c r="C43" s="76" t="str">
        <f>IF('Saisie des valeurs'!C43&lt;&gt;"",ROUND('Saisie des valeurs'!C43,ABS(LOG10('Saisie des valeurs'!$I43))),"")</f>
        <v/>
      </c>
      <c r="D43" s="76" t="str">
        <f>IF('Saisie des valeurs'!D43&lt;&gt;"",ROUND('Saisie des valeurs'!D43,ABS(LOG10('Saisie des valeurs'!$I43))),"")</f>
        <v/>
      </c>
      <c r="E43" s="76" t="str">
        <f>IF('Saisie des valeurs'!E43&lt;&gt;"",ROUND('Saisie des valeurs'!E43,ABS(LOG10('Saisie des valeurs'!$I43))),"")</f>
        <v/>
      </c>
      <c r="F43" s="80" t="str">
        <f>IF('Saisie des valeurs'!F43&lt;&gt;"",ROUND('Saisie des valeurs'!F43,ABS(LOG10('Saisie des valeurs'!$I43))),"")</f>
        <v/>
      </c>
      <c r="G43" s="23" t="str">
        <f>IF('Saisie des valeurs'!G43&lt;&gt;"",'Saisie des valeurs'!G43,"")</f>
        <v/>
      </c>
      <c r="H43" s="24" t="str">
        <f>IF('Saisie des valeurs'!H43&lt;&gt;"",'Saisie des valeurs'!H43,"")</f>
        <v/>
      </c>
      <c r="I43" s="56" t="str">
        <f>IF('Saisie des valeurs'!I43&lt;&gt;"",'Saisie des valeurs'!I43,"")</f>
        <v/>
      </c>
      <c r="J43" s="56" t="str">
        <f>IF('Saisie des valeurs'!J43&lt;&gt;"",'Saisie des valeurs'!J43,"")</f>
        <v/>
      </c>
      <c r="V43" s="24"/>
      <c r="W43" s="24"/>
      <c r="X43" s="54"/>
      <c r="Y43" s="54"/>
    </row>
    <row r="44" spans="2:25" ht="15">
      <c r="B44" s="66" t="str">
        <f>IF('Saisie des valeurs'!B44&lt;&gt;"",'Saisie des valeurs'!B44,"")</f>
        <v/>
      </c>
      <c r="C44" s="76" t="str">
        <f>IF('Saisie des valeurs'!C44&lt;&gt;"",ROUND('Saisie des valeurs'!C44,ABS(LOG10('Saisie des valeurs'!$I44))),"")</f>
        <v/>
      </c>
      <c r="D44" s="76" t="str">
        <f>IF('Saisie des valeurs'!D44&lt;&gt;"",ROUND('Saisie des valeurs'!D44,ABS(LOG10('Saisie des valeurs'!$I44))),"")</f>
        <v/>
      </c>
      <c r="E44" s="76" t="str">
        <f>IF('Saisie des valeurs'!E44&lt;&gt;"",ROUND('Saisie des valeurs'!E44,ABS(LOG10('Saisie des valeurs'!$I44))),"")</f>
        <v/>
      </c>
      <c r="F44" s="80" t="str">
        <f>IF('Saisie des valeurs'!F44&lt;&gt;"",ROUND('Saisie des valeurs'!F44,ABS(LOG10('Saisie des valeurs'!$I44))),"")</f>
        <v/>
      </c>
      <c r="G44" s="23" t="str">
        <f>IF('Saisie des valeurs'!G44&lt;&gt;"",'Saisie des valeurs'!G44,"")</f>
        <v/>
      </c>
      <c r="H44" s="24" t="str">
        <f>IF('Saisie des valeurs'!H44&lt;&gt;"",'Saisie des valeurs'!H44,"")</f>
        <v/>
      </c>
      <c r="I44" s="56" t="str">
        <f>IF('Saisie des valeurs'!I44&lt;&gt;"",'Saisie des valeurs'!I44,"")</f>
        <v/>
      </c>
      <c r="J44" s="56" t="str">
        <f>IF('Saisie des valeurs'!J44&lt;&gt;"",'Saisie des valeurs'!J44,"")</f>
        <v/>
      </c>
      <c r="V44" s="24"/>
      <c r="W44" s="24"/>
      <c r="X44" s="54"/>
      <c r="Y44" s="54"/>
    </row>
    <row r="45" spans="2:25" ht="15">
      <c r="B45" s="66" t="str">
        <f>IF('Saisie des valeurs'!B45&lt;&gt;"",'Saisie des valeurs'!B45,"")</f>
        <v/>
      </c>
      <c r="C45" s="76" t="str">
        <f>IF('Saisie des valeurs'!C45&lt;&gt;"",ROUND('Saisie des valeurs'!C45,ABS(LOG10('Saisie des valeurs'!$I45))),"")</f>
        <v/>
      </c>
      <c r="D45" s="76" t="str">
        <f>IF('Saisie des valeurs'!D45&lt;&gt;"",ROUND('Saisie des valeurs'!D45,ABS(LOG10('Saisie des valeurs'!$I45))),"")</f>
        <v/>
      </c>
      <c r="E45" s="76" t="str">
        <f>IF('Saisie des valeurs'!E45&lt;&gt;"",ROUND('Saisie des valeurs'!E45,ABS(LOG10('Saisie des valeurs'!$I45))),"")</f>
        <v/>
      </c>
      <c r="F45" s="80" t="str">
        <f>IF('Saisie des valeurs'!F45&lt;&gt;"",ROUND('Saisie des valeurs'!F45,ABS(LOG10('Saisie des valeurs'!$I45))),"")</f>
        <v/>
      </c>
      <c r="G45" s="23" t="str">
        <f>IF('Saisie des valeurs'!G45&lt;&gt;"",'Saisie des valeurs'!G45,"")</f>
        <v/>
      </c>
      <c r="H45" s="24" t="str">
        <f>IF('Saisie des valeurs'!H45&lt;&gt;"",'Saisie des valeurs'!H45,"")</f>
        <v/>
      </c>
      <c r="I45" s="56" t="str">
        <f>IF('Saisie des valeurs'!I45&lt;&gt;"",'Saisie des valeurs'!I45,"")</f>
        <v/>
      </c>
      <c r="J45" s="56" t="str">
        <f>IF('Saisie des valeurs'!J45&lt;&gt;"",'Saisie des valeurs'!J45,"")</f>
        <v/>
      </c>
      <c r="V45" s="24"/>
      <c r="W45" s="24"/>
      <c r="X45" s="54"/>
      <c r="Y45" s="54"/>
    </row>
    <row r="46" spans="2:25" ht="15">
      <c r="B46" s="66" t="str">
        <f>IF('Saisie des valeurs'!B46&lt;&gt;"",'Saisie des valeurs'!B46,"")</f>
        <v/>
      </c>
      <c r="C46" s="76" t="str">
        <f>IF('Saisie des valeurs'!C46&lt;&gt;"",ROUND('Saisie des valeurs'!C46,ABS(LOG10('Saisie des valeurs'!$I46))),"")</f>
        <v/>
      </c>
      <c r="D46" s="76" t="str">
        <f>IF('Saisie des valeurs'!D46&lt;&gt;"",ROUND('Saisie des valeurs'!D46,ABS(LOG10('Saisie des valeurs'!$I46))),"")</f>
        <v/>
      </c>
      <c r="E46" s="76" t="str">
        <f>IF('Saisie des valeurs'!E46&lt;&gt;"",ROUND('Saisie des valeurs'!E46,ABS(LOG10('Saisie des valeurs'!$I46))),"")</f>
        <v/>
      </c>
      <c r="F46" s="80" t="str">
        <f>IF('Saisie des valeurs'!F46&lt;&gt;"",ROUND('Saisie des valeurs'!F46,ABS(LOG10('Saisie des valeurs'!$I46))),"")</f>
        <v/>
      </c>
      <c r="G46" s="23" t="str">
        <f>IF('Saisie des valeurs'!G46&lt;&gt;"",'Saisie des valeurs'!G46,"")</f>
        <v/>
      </c>
      <c r="H46" s="24" t="str">
        <f>IF('Saisie des valeurs'!H46&lt;&gt;"",'Saisie des valeurs'!H46,"")</f>
        <v/>
      </c>
      <c r="I46" s="56" t="str">
        <f>IF('Saisie des valeurs'!I46&lt;&gt;"",'Saisie des valeurs'!I46,"")</f>
        <v/>
      </c>
      <c r="J46" s="56" t="str">
        <f>IF('Saisie des valeurs'!J46&lt;&gt;"",'Saisie des valeurs'!J46,"")</f>
        <v/>
      </c>
      <c r="V46" s="24"/>
      <c r="W46" s="24"/>
      <c r="X46" s="54"/>
      <c r="Y46" s="54"/>
    </row>
    <row r="47" spans="2:25" ht="15">
      <c r="B47" s="66" t="str">
        <f>IF('Saisie des valeurs'!B47&lt;&gt;"",'Saisie des valeurs'!B47,"")</f>
        <v/>
      </c>
      <c r="C47" s="76" t="str">
        <f>IF('Saisie des valeurs'!C47&lt;&gt;"",ROUND('Saisie des valeurs'!C47,ABS(LOG10('Saisie des valeurs'!$I47))),"")</f>
        <v/>
      </c>
      <c r="D47" s="76" t="str">
        <f>IF('Saisie des valeurs'!D47&lt;&gt;"",ROUND('Saisie des valeurs'!D47,ABS(LOG10('Saisie des valeurs'!$I47))),"")</f>
        <v/>
      </c>
      <c r="E47" s="76" t="str">
        <f>IF('Saisie des valeurs'!E47&lt;&gt;"",ROUND('Saisie des valeurs'!E47,ABS(LOG10('Saisie des valeurs'!$I47))),"")</f>
        <v/>
      </c>
      <c r="F47" s="80" t="str">
        <f>IF('Saisie des valeurs'!F47&lt;&gt;"",ROUND('Saisie des valeurs'!F47,ABS(LOG10('Saisie des valeurs'!$I47))),"")</f>
        <v/>
      </c>
      <c r="G47" s="23" t="str">
        <f>IF('Saisie des valeurs'!G47&lt;&gt;"",'Saisie des valeurs'!G47,"")</f>
        <v/>
      </c>
      <c r="H47" s="24" t="str">
        <f>IF('Saisie des valeurs'!H47&lt;&gt;"",'Saisie des valeurs'!H47,"")</f>
        <v/>
      </c>
      <c r="I47" s="56" t="str">
        <f>IF('Saisie des valeurs'!I47&lt;&gt;"",'Saisie des valeurs'!I47,"")</f>
        <v/>
      </c>
      <c r="J47" s="56" t="str">
        <f>IF('Saisie des valeurs'!J47&lt;&gt;"",'Saisie des valeurs'!J47,"")</f>
        <v/>
      </c>
      <c r="K47" s="2"/>
      <c r="V47" s="24"/>
      <c r="W47" s="24"/>
      <c r="X47" s="54"/>
      <c r="Y47" s="54"/>
    </row>
    <row r="48" spans="2:25" ht="15">
      <c r="B48" s="66" t="str">
        <f>IF('Saisie des valeurs'!B48&lt;&gt;"",'Saisie des valeurs'!B48,"")</f>
        <v/>
      </c>
      <c r="C48" s="76" t="str">
        <f>IF('Saisie des valeurs'!C48&lt;&gt;"",ROUND('Saisie des valeurs'!C48,ABS(LOG10('Saisie des valeurs'!$I48))),"")</f>
        <v/>
      </c>
      <c r="D48" s="76" t="str">
        <f>IF('Saisie des valeurs'!D48&lt;&gt;"",ROUND('Saisie des valeurs'!D48,ABS(LOG10('Saisie des valeurs'!$I48))),"")</f>
        <v/>
      </c>
      <c r="E48" s="76" t="str">
        <f>IF('Saisie des valeurs'!E48&lt;&gt;"",ROUND('Saisie des valeurs'!E48,ABS(LOG10('Saisie des valeurs'!$I48))),"")</f>
        <v/>
      </c>
      <c r="F48" s="80" t="str">
        <f>IF('Saisie des valeurs'!F48&lt;&gt;"",ROUND('Saisie des valeurs'!F48,ABS(LOG10('Saisie des valeurs'!$I48))),"")</f>
        <v/>
      </c>
      <c r="G48" s="23" t="str">
        <f>IF('Saisie des valeurs'!G48&lt;&gt;"",'Saisie des valeurs'!G48,"")</f>
        <v/>
      </c>
      <c r="H48" s="24" t="str">
        <f>IF('Saisie des valeurs'!H48&lt;&gt;"",'Saisie des valeurs'!H48,"")</f>
        <v/>
      </c>
      <c r="I48" s="56" t="str">
        <f>IF('Saisie des valeurs'!I48&lt;&gt;"",'Saisie des valeurs'!I48,"")</f>
        <v/>
      </c>
      <c r="J48" s="56" t="str">
        <f>IF('Saisie des valeurs'!J48&lt;&gt;"",'Saisie des valeurs'!J48,"")</f>
        <v/>
      </c>
      <c r="K48" s="2"/>
      <c r="V48" s="24"/>
      <c r="W48" s="24"/>
      <c r="X48" s="54"/>
      <c r="Y48" s="54"/>
    </row>
    <row r="49" spans="2:25" ht="15">
      <c r="B49" s="66" t="str">
        <f>IF('Saisie des valeurs'!B49&lt;&gt;"",'Saisie des valeurs'!B49,"")</f>
        <v/>
      </c>
      <c r="C49" s="76" t="str">
        <f>IF('Saisie des valeurs'!C49&lt;&gt;"",ROUND('Saisie des valeurs'!C49,ABS(LOG10('Saisie des valeurs'!$I49))),"")</f>
        <v/>
      </c>
      <c r="D49" s="76" t="str">
        <f>IF('Saisie des valeurs'!D49&lt;&gt;"",ROUND('Saisie des valeurs'!D49,ABS(LOG10('Saisie des valeurs'!$I49))),"")</f>
        <v/>
      </c>
      <c r="E49" s="76" t="str">
        <f>IF('Saisie des valeurs'!E49&lt;&gt;"",ROUND('Saisie des valeurs'!E49,ABS(LOG10('Saisie des valeurs'!$I49))),"")</f>
        <v/>
      </c>
      <c r="F49" s="80" t="str">
        <f>IF('Saisie des valeurs'!F49&lt;&gt;"",ROUND('Saisie des valeurs'!F49,ABS(LOG10('Saisie des valeurs'!$I49))),"")</f>
        <v/>
      </c>
      <c r="G49" s="23" t="str">
        <f>IF('Saisie des valeurs'!G49&lt;&gt;"",'Saisie des valeurs'!G49,"")</f>
        <v/>
      </c>
      <c r="H49" s="24" t="str">
        <f>IF('Saisie des valeurs'!H49&lt;&gt;"",'Saisie des valeurs'!H49,"")</f>
        <v/>
      </c>
      <c r="I49" s="56" t="str">
        <f>IF('Saisie des valeurs'!I49&lt;&gt;"",'Saisie des valeurs'!I49,"")</f>
        <v/>
      </c>
      <c r="J49" s="56" t="str">
        <f>IF('Saisie des valeurs'!J49&lt;&gt;"",'Saisie des valeurs'!J49,"")</f>
        <v/>
      </c>
      <c r="K49" s="2"/>
      <c r="V49" s="24"/>
      <c r="W49" s="24"/>
      <c r="X49" s="54"/>
      <c r="Y49" s="54"/>
    </row>
    <row r="50" spans="2:25" ht="15">
      <c r="B50" s="66" t="str">
        <f>IF('Saisie des valeurs'!B50&lt;&gt;"",'Saisie des valeurs'!B50,"")</f>
        <v/>
      </c>
      <c r="C50" s="76" t="str">
        <f>IF('Saisie des valeurs'!C50&lt;&gt;"",ROUND('Saisie des valeurs'!C50,ABS(LOG10('Saisie des valeurs'!$I50))),"")</f>
        <v/>
      </c>
      <c r="D50" s="76" t="str">
        <f>IF('Saisie des valeurs'!D50&lt;&gt;"",ROUND('Saisie des valeurs'!D50,ABS(LOG10('Saisie des valeurs'!$I50))),"")</f>
        <v/>
      </c>
      <c r="E50" s="76" t="str">
        <f>IF('Saisie des valeurs'!E50&lt;&gt;"",ROUND('Saisie des valeurs'!E50,ABS(LOG10('Saisie des valeurs'!$I50))),"")</f>
        <v/>
      </c>
      <c r="F50" s="80" t="str">
        <f>IF('Saisie des valeurs'!F50&lt;&gt;"",ROUND('Saisie des valeurs'!F50,ABS(LOG10('Saisie des valeurs'!$I50))),"")</f>
        <v/>
      </c>
      <c r="G50" s="23" t="str">
        <f>IF('Saisie des valeurs'!G50&lt;&gt;"",'Saisie des valeurs'!G50,"")</f>
        <v/>
      </c>
      <c r="H50" s="24" t="str">
        <f>IF('Saisie des valeurs'!H50&lt;&gt;"",'Saisie des valeurs'!H50,"")</f>
        <v/>
      </c>
      <c r="I50" s="56" t="str">
        <f>IF('Saisie des valeurs'!I50&lt;&gt;"",'Saisie des valeurs'!I50,"")</f>
        <v/>
      </c>
      <c r="J50" s="56" t="str">
        <f>IF('Saisie des valeurs'!J50&lt;&gt;"",'Saisie des valeurs'!J50,"")</f>
        <v/>
      </c>
      <c r="K50" s="2"/>
      <c r="V50" s="24"/>
      <c r="W50" s="24"/>
      <c r="X50" s="54"/>
      <c r="Y50" s="54"/>
    </row>
    <row r="51" spans="2:25" ht="15">
      <c r="B51" s="66" t="str">
        <f>IF('Saisie des valeurs'!B51&lt;&gt;"",'Saisie des valeurs'!B51,"")</f>
        <v/>
      </c>
      <c r="C51" s="76" t="str">
        <f>IF('Saisie des valeurs'!C51&lt;&gt;"",ROUND('Saisie des valeurs'!C51,ABS(LOG10('Saisie des valeurs'!$I51))),"")</f>
        <v/>
      </c>
      <c r="D51" s="76" t="str">
        <f>IF('Saisie des valeurs'!D51&lt;&gt;"",ROUND('Saisie des valeurs'!D51,ABS(LOG10('Saisie des valeurs'!$I51))),"")</f>
        <v/>
      </c>
      <c r="E51" s="76" t="str">
        <f>IF('Saisie des valeurs'!E51&lt;&gt;"",ROUND('Saisie des valeurs'!E51,ABS(LOG10('Saisie des valeurs'!$I51))),"")</f>
        <v/>
      </c>
      <c r="F51" s="80" t="str">
        <f>IF('Saisie des valeurs'!F51&lt;&gt;"",ROUND('Saisie des valeurs'!F51,ABS(LOG10('Saisie des valeurs'!$I51))),"")</f>
        <v/>
      </c>
      <c r="G51" s="23" t="str">
        <f>IF('Saisie des valeurs'!G51&lt;&gt;"",'Saisie des valeurs'!G51,"")</f>
        <v/>
      </c>
      <c r="H51" s="24" t="str">
        <f>IF('Saisie des valeurs'!H51&lt;&gt;"",'Saisie des valeurs'!H51,"")</f>
        <v/>
      </c>
      <c r="I51" s="56" t="str">
        <f>IF('Saisie des valeurs'!I51&lt;&gt;"",'Saisie des valeurs'!I51,"")</f>
        <v/>
      </c>
      <c r="J51" s="56" t="str">
        <f>IF('Saisie des valeurs'!J51&lt;&gt;"",'Saisie des valeurs'!J51,"")</f>
        <v/>
      </c>
      <c r="K51" s="2"/>
      <c r="V51" s="24"/>
      <c r="W51" s="24"/>
      <c r="X51" s="54"/>
      <c r="Y51" s="54"/>
    </row>
    <row r="52" spans="2:25" ht="15">
      <c r="B52" s="66" t="str">
        <f>IF('Saisie des valeurs'!B52&lt;&gt;"",'Saisie des valeurs'!B52,"")</f>
        <v/>
      </c>
      <c r="C52" s="76" t="str">
        <f>IF('Saisie des valeurs'!C52&lt;&gt;"",ROUND('Saisie des valeurs'!C52,ABS(LOG10('Saisie des valeurs'!$I52))),"")</f>
        <v/>
      </c>
      <c r="D52" s="76" t="str">
        <f>IF('Saisie des valeurs'!D52&lt;&gt;"",ROUND('Saisie des valeurs'!D52,ABS(LOG10('Saisie des valeurs'!$I52))),"")</f>
        <v/>
      </c>
      <c r="E52" s="76" t="str">
        <f>IF('Saisie des valeurs'!E52&lt;&gt;"",ROUND('Saisie des valeurs'!E52,ABS(LOG10('Saisie des valeurs'!$I52))),"")</f>
        <v/>
      </c>
      <c r="F52" s="80" t="str">
        <f>IF('Saisie des valeurs'!F52&lt;&gt;"",ROUND('Saisie des valeurs'!F52,ABS(LOG10('Saisie des valeurs'!$I52))),"")</f>
        <v/>
      </c>
      <c r="G52" s="23" t="str">
        <f>IF('Saisie des valeurs'!G52&lt;&gt;"",'Saisie des valeurs'!G52,"")</f>
        <v/>
      </c>
      <c r="H52" s="24" t="str">
        <f>IF('Saisie des valeurs'!H52&lt;&gt;"",'Saisie des valeurs'!H52,"")</f>
        <v/>
      </c>
      <c r="I52" s="56" t="str">
        <f>IF('Saisie des valeurs'!I52&lt;&gt;"",'Saisie des valeurs'!I52,"")</f>
        <v/>
      </c>
      <c r="J52" s="56" t="str">
        <f>IF('Saisie des valeurs'!J52&lt;&gt;"",'Saisie des valeurs'!J52,"")</f>
        <v/>
      </c>
      <c r="K52" s="2"/>
      <c r="V52" s="24"/>
      <c r="W52" s="24"/>
      <c r="X52" s="54"/>
      <c r="Y52" s="54"/>
    </row>
    <row r="53" spans="2:25" ht="15">
      <c r="B53" s="67" t="str">
        <f>IF('Saisie des valeurs'!B53&lt;&gt;"",'Saisie des valeurs'!B53,"")</f>
        <v/>
      </c>
      <c r="C53" s="77" t="str">
        <f>IF('Saisie des valeurs'!C53&lt;&gt;"",ROUND('Saisie des valeurs'!C53,ABS(LOG10('Saisie des valeurs'!$I53))),"")</f>
        <v/>
      </c>
      <c r="D53" s="77" t="str">
        <f>IF('Saisie des valeurs'!D53&lt;&gt;"",ROUND('Saisie des valeurs'!D53,ABS(LOG10('Saisie des valeurs'!$I53))),"")</f>
        <v/>
      </c>
      <c r="E53" s="77" t="str">
        <f>IF('Saisie des valeurs'!E53&lt;&gt;"",ROUND('Saisie des valeurs'!E53,ABS(LOG10('Saisie des valeurs'!$I53))),"")</f>
        <v/>
      </c>
      <c r="F53" s="57" t="str">
        <f>IF('Saisie des valeurs'!F53&lt;&gt;"",ROUND('Saisie des valeurs'!F53,ABS(LOG10('Saisie des valeurs'!$I53))),"")</f>
        <v/>
      </c>
      <c r="G53" s="25" t="str">
        <f>IF('Saisie des valeurs'!G53&lt;&gt;"",'Saisie des valeurs'!G53,"")</f>
        <v/>
      </c>
      <c r="H53" s="25" t="str">
        <f>IF('Saisie des valeurs'!H53&lt;&gt;"",'Saisie des valeurs'!H53,"")</f>
        <v/>
      </c>
      <c r="I53" s="57" t="str">
        <f>IF('Saisie des valeurs'!I53&lt;&gt;"",'Saisie des valeurs'!I53,"")</f>
        <v/>
      </c>
      <c r="J53" s="57" t="str">
        <f>IF('Saisie des valeurs'!J53&lt;&gt;"",'Saisie des valeurs'!J53,"")</f>
        <v/>
      </c>
      <c r="K53" s="2"/>
      <c r="V53" s="25"/>
      <c r="W53" s="25"/>
      <c r="X53" s="55"/>
      <c r="Y53" s="55"/>
    </row>
    <row r="54" spans="2:25" ht="15">
      <c r="C54" s="8"/>
      <c r="D54" s="8"/>
      <c r="E54" s="8"/>
      <c r="F54" s="8"/>
      <c r="G54" s="8"/>
      <c r="H54" s="8"/>
      <c r="I54" s="8"/>
    </row>
    <row r="55" spans="2:25" ht="15.75">
      <c r="C55" s="2"/>
      <c r="D55" s="26"/>
      <c r="E55" s="27"/>
    </row>
    <row r="56" spans="2:25" ht="20.25">
      <c r="C56" s="2"/>
      <c r="D56" s="26"/>
      <c r="E56" s="27"/>
      <c r="F56" s="118" t="s">
        <v>71</v>
      </c>
      <c r="G56" s="118"/>
      <c r="H56" s="118"/>
      <c r="I56" s="118"/>
      <c r="J56" s="59" t="str">
        <f>IF('Saisie des valeurs'!J56&lt;&gt;"",'Saisie des valeurs'!J56,"")</f>
        <v/>
      </c>
    </row>
    <row r="57" spans="2:25" ht="15">
      <c r="C57" s="8"/>
      <c r="D57" s="8"/>
      <c r="E57" s="8"/>
    </row>
    <row r="58" spans="2:25" ht="15">
      <c r="D58" s="28" t="s">
        <v>73</v>
      </c>
      <c r="E58" s="30"/>
      <c r="F58" s="8"/>
      <c r="G58" s="28" t="s">
        <v>75</v>
      </c>
      <c r="H58" s="29"/>
      <c r="I58" s="29"/>
      <c r="J58" s="30"/>
    </row>
    <row r="59" spans="2:25" ht="15">
      <c r="D59" s="33"/>
      <c r="E59" s="32"/>
      <c r="F59" s="8"/>
      <c r="G59" s="143" t="str">
        <f>IF('Saisie des valeurs'!G59&lt;&gt;"",'Saisie des valeurs'!G59,"")</f>
        <v/>
      </c>
      <c r="H59" s="144" t="str">
        <f>IF('Saisie des valeurs'!H59&lt;&gt;"",'Saisie des valeurs'!H59,"")</f>
        <v/>
      </c>
      <c r="I59" s="144" t="str">
        <f>IF('Saisie des valeurs'!I59&lt;&gt;"",'Saisie des valeurs'!I59,"")</f>
        <v/>
      </c>
      <c r="J59" s="145" t="str">
        <f>IF('Saisie des valeurs'!J59&lt;&gt;"",'Saisie des valeurs'!J59,"")</f>
        <v/>
      </c>
    </row>
    <row r="60" spans="2:25" ht="15">
      <c r="D60" s="36"/>
      <c r="E60" s="32"/>
      <c r="F60" s="8"/>
      <c r="G60" s="143" t="str">
        <f>IF('Saisie des valeurs'!G60&lt;&gt;"",'Saisie des valeurs'!G60,"")</f>
        <v/>
      </c>
      <c r="H60" s="144" t="str">
        <f>IF('Saisie des valeurs'!H60&lt;&gt;"",'Saisie des valeurs'!H60,"")</f>
        <v/>
      </c>
      <c r="I60" s="144" t="str">
        <f>IF('Saisie des valeurs'!I60&lt;&gt;"",'Saisie des valeurs'!I60,"")</f>
        <v/>
      </c>
      <c r="J60" s="145" t="str">
        <f>IF('Saisie des valeurs'!J60&lt;&gt;"",'Saisie des valeurs'!J60,"")</f>
        <v/>
      </c>
    </row>
    <row r="61" spans="2:25" ht="15">
      <c r="D61" s="31"/>
      <c r="E61" s="32"/>
      <c r="F61" s="8"/>
      <c r="G61" s="143" t="str">
        <f>IF('Saisie des valeurs'!G61&lt;&gt;"",'Saisie des valeurs'!G61,"")</f>
        <v/>
      </c>
      <c r="H61" s="144" t="str">
        <f>IF('Saisie des valeurs'!H61&lt;&gt;"",'Saisie des valeurs'!H61,"")</f>
        <v/>
      </c>
      <c r="I61" s="144" t="str">
        <f>IF('Saisie des valeurs'!I61&lt;&gt;"",'Saisie des valeurs'!I61,"")</f>
        <v/>
      </c>
      <c r="J61" s="145" t="str">
        <f>IF('Saisie des valeurs'!J61&lt;&gt;"",'Saisie des valeurs'!J61,"")</f>
        <v/>
      </c>
    </row>
    <row r="62" spans="2:25" ht="15">
      <c r="D62" s="34"/>
      <c r="E62" s="35"/>
      <c r="F62" s="8"/>
      <c r="G62" s="151" t="str">
        <f>IF('Saisie des valeurs'!G62&lt;&gt;"",'Saisie des valeurs'!G62,"")</f>
        <v/>
      </c>
      <c r="H62" s="152" t="str">
        <f>IF('Saisie des valeurs'!H62&lt;&gt;"",'Saisie des valeurs'!H62,"")</f>
        <v/>
      </c>
      <c r="I62" s="152" t="str">
        <f>IF('Saisie des valeurs'!I62&lt;&gt;"",'Saisie des valeurs'!I62,"")</f>
        <v/>
      </c>
      <c r="J62" s="153" t="str">
        <f>IF('Saisie des valeurs'!J62&lt;&gt;"",'Saisie des valeurs'!J62,"")</f>
        <v/>
      </c>
    </row>
    <row r="63" spans="2:25" ht="15">
      <c r="C63" s="2"/>
      <c r="D63" s="2"/>
      <c r="E63" s="8"/>
      <c r="F63" s="8"/>
      <c r="G63" s="8"/>
      <c r="H63" s="8"/>
      <c r="I63" s="8"/>
    </row>
    <row r="64" spans="2:25" ht="15">
      <c r="C64" s="2"/>
      <c r="D64" s="2"/>
      <c r="E64" s="2"/>
      <c r="F64" s="2"/>
      <c r="G64" s="2"/>
      <c r="H64" s="2"/>
      <c r="I64" s="8"/>
    </row>
    <row r="65" spans="2:10">
      <c r="B65" s="112"/>
      <c r="C65" s="112"/>
      <c r="D65" s="112"/>
      <c r="E65" s="112"/>
      <c r="F65" s="112"/>
      <c r="G65" s="112"/>
      <c r="H65" s="112"/>
      <c r="I65" s="112"/>
      <c r="J65" s="112"/>
    </row>
    <row r="66" spans="2:10" ht="15" customHeight="1">
      <c r="B66" s="131" t="s">
        <v>74</v>
      </c>
      <c r="C66" s="131"/>
      <c r="D66" s="131"/>
      <c r="E66" s="131"/>
      <c r="F66" s="131"/>
      <c r="G66" s="131"/>
      <c r="H66" s="131"/>
      <c r="I66" s="131"/>
      <c r="J66" s="131"/>
    </row>
    <row r="67" spans="2:10" ht="15">
      <c r="B67" s="8"/>
      <c r="C67" s="8"/>
      <c r="D67" s="8"/>
      <c r="E67" s="8"/>
      <c r="F67" s="8"/>
      <c r="G67" s="8"/>
      <c r="H67" s="8"/>
      <c r="I67" s="8"/>
    </row>
    <row r="68" spans="2:10" ht="15">
      <c r="B68" s="8"/>
      <c r="C68" s="26"/>
      <c r="D68" s="8"/>
      <c r="E68" s="8"/>
      <c r="F68" s="8"/>
      <c r="G68" s="8"/>
      <c r="H68" s="8"/>
      <c r="I68" s="8"/>
    </row>
    <row r="69" spans="2:10" ht="15">
      <c r="B69" s="8"/>
      <c r="C69" s="8"/>
      <c r="D69" s="8"/>
      <c r="E69" s="8"/>
      <c r="F69" s="8"/>
      <c r="G69" s="8"/>
      <c r="H69" s="8"/>
      <c r="I69" s="8"/>
    </row>
    <row r="73" spans="2:10">
      <c r="B73" s="2"/>
    </row>
  </sheetData>
  <sheetProtection sheet="1" objects="1" scenarios="1"/>
  <mergeCells count="22">
    <mergeCell ref="C5:E5"/>
    <mergeCell ref="G18:I18"/>
    <mergeCell ref="G19:I19"/>
    <mergeCell ref="G20:I20"/>
    <mergeCell ref="B9:C9"/>
    <mergeCell ref="H9:J9"/>
    <mergeCell ref="B10:C10"/>
    <mergeCell ref="H10:J10"/>
    <mergeCell ref="B7:J7"/>
    <mergeCell ref="B66:J66"/>
    <mergeCell ref="B65:J65"/>
    <mergeCell ref="G59:J59"/>
    <mergeCell ref="G60:J60"/>
    <mergeCell ref="G61:J61"/>
    <mergeCell ref="G62:J62"/>
    <mergeCell ref="B26:C26"/>
    <mergeCell ref="B24:C24"/>
    <mergeCell ref="F56:I56"/>
    <mergeCell ref="C32:F32"/>
    <mergeCell ref="C30:F30"/>
    <mergeCell ref="C31:F31"/>
    <mergeCell ref="B25:C25"/>
  </mergeCells>
  <phoneticPr fontId="0" type="noConversion"/>
  <printOptions horizontalCentered="1" verticalCentered="1" gridLinesSet="0"/>
  <pageMargins left="0" right="0" top="0" bottom="0" header="0.35433070866141736" footer="0.27559055118110237"/>
  <pageSetup paperSize="9" scale="79" orientation="portrait" horizontalDpi="4294967294" verticalDpi="4294967292" r:id="rId1"/>
  <headerFooter alignWithMargins="0">
    <oddFooter>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9"/>
  <sheetViews>
    <sheetView workbookViewId="0">
      <selection activeCell="G6" sqref="G6"/>
    </sheetView>
  </sheetViews>
  <sheetFormatPr baseColWidth="10" defaultColWidth="11.42578125" defaultRowHeight="12.75"/>
  <cols>
    <col min="1" max="1" width="28.85546875" bestFit="1" customWidth="1"/>
    <col min="3" max="3" width="30.7109375" bestFit="1" customWidth="1"/>
    <col min="7" max="7" width="17.5703125" bestFit="1" customWidth="1"/>
    <col min="9" max="9" width="32.28515625" customWidth="1"/>
    <col min="10" max="10" width="13.140625" customWidth="1"/>
    <col min="11" max="11" width="13.85546875" customWidth="1"/>
    <col min="12" max="12" width="12.7109375" customWidth="1"/>
  </cols>
  <sheetData>
    <row r="1" spans="1:12">
      <c r="A1" s="39" t="s">
        <v>1</v>
      </c>
      <c r="C1" s="39" t="s">
        <v>26</v>
      </c>
      <c r="I1" s="39" t="s">
        <v>14</v>
      </c>
      <c r="J1" s="39"/>
      <c r="K1" s="39"/>
      <c r="L1" s="39"/>
    </row>
    <row r="2" spans="1:12">
      <c r="A2" t="s">
        <v>40</v>
      </c>
      <c r="C2" t="s">
        <v>40</v>
      </c>
      <c r="E2" t="s">
        <v>16</v>
      </c>
      <c r="G2" t="s">
        <v>21</v>
      </c>
      <c r="I2" t="s">
        <v>40</v>
      </c>
    </row>
    <row r="3" spans="1:12">
      <c r="A3" t="s">
        <v>27</v>
      </c>
      <c r="C3" t="s">
        <v>117</v>
      </c>
      <c r="E3" t="s">
        <v>126</v>
      </c>
      <c r="G3" t="s">
        <v>140</v>
      </c>
      <c r="I3" t="s">
        <v>77</v>
      </c>
    </row>
    <row r="4" spans="1:12">
      <c r="A4" t="s">
        <v>81</v>
      </c>
      <c r="C4" t="s">
        <v>124</v>
      </c>
      <c r="E4" t="s">
        <v>28</v>
      </c>
      <c r="G4" t="s">
        <v>30</v>
      </c>
      <c r="I4" t="s">
        <v>122</v>
      </c>
    </row>
    <row r="5" spans="1:12">
      <c r="A5" t="s">
        <v>109</v>
      </c>
      <c r="C5" t="s">
        <v>118</v>
      </c>
      <c r="E5" t="s">
        <v>29</v>
      </c>
      <c r="G5" t="s">
        <v>130</v>
      </c>
      <c r="I5" t="s">
        <v>83</v>
      </c>
    </row>
    <row r="6" spans="1:12">
      <c r="A6" t="s">
        <v>110</v>
      </c>
      <c r="C6" t="s">
        <v>79</v>
      </c>
      <c r="E6" t="s">
        <v>127</v>
      </c>
      <c r="G6" t="s">
        <v>31</v>
      </c>
      <c r="I6" t="s">
        <v>84</v>
      </c>
    </row>
    <row r="7" spans="1:12">
      <c r="A7" t="s">
        <v>129</v>
      </c>
      <c r="C7" t="s">
        <v>78</v>
      </c>
      <c r="E7" t="s">
        <v>134</v>
      </c>
      <c r="G7" t="s">
        <v>136</v>
      </c>
      <c r="I7" t="s">
        <v>85</v>
      </c>
    </row>
    <row r="8" spans="1:12">
      <c r="A8" t="s">
        <v>125</v>
      </c>
      <c r="C8" t="s">
        <v>123</v>
      </c>
      <c r="E8" t="s">
        <v>135</v>
      </c>
      <c r="G8" t="s">
        <v>32</v>
      </c>
      <c r="I8" t="s">
        <v>82</v>
      </c>
    </row>
    <row r="9" spans="1:12">
      <c r="A9" t="s">
        <v>138</v>
      </c>
      <c r="C9" t="s">
        <v>80</v>
      </c>
      <c r="G9" t="s">
        <v>33</v>
      </c>
      <c r="I9" t="s">
        <v>86</v>
      </c>
    </row>
    <row r="10" spans="1:12">
      <c r="C10" t="s">
        <v>76</v>
      </c>
      <c r="G10" t="s">
        <v>114</v>
      </c>
      <c r="I10" t="s">
        <v>87</v>
      </c>
    </row>
    <row r="11" spans="1:12">
      <c r="C11" t="s">
        <v>119</v>
      </c>
      <c r="G11" t="s">
        <v>137</v>
      </c>
      <c r="I11" t="s">
        <v>89</v>
      </c>
    </row>
    <row r="12" spans="1:12">
      <c r="C12" t="s">
        <v>120</v>
      </c>
      <c r="G12" t="s">
        <v>133</v>
      </c>
      <c r="I12" t="s">
        <v>88</v>
      </c>
    </row>
    <row r="13" spans="1:12">
      <c r="C13" t="s">
        <v>112</v>
      </c>
    </row>
    <row r="14" spans="1:12">
      <c r="C14" t="s">
        <v>113</v>
      </c>
    </row>
    <row r="15" spans="1:12">
      <c r="C15" t="s">
        <v>115</v>
      </c>
    </row>
    <row r="16" spans="1:12">
      <c r="C16" t="s">
        <v>111</v>
      </c>
    </row>
    <row r="17" spans="3:3">
      <c r="C17" t="s">
        <v>116</v>
      </c>
    </row>
    <row r="18" spans="3:3">
      <c r="C18" t="s">
        <v>121</v>
      </c>
    </row>
    <row r="19" spans="3:3">
      <c r="C19" t="s">
        <v>139</v>
      </c>
    </row>
  </sheetData>
  <sheetProtection sheet="1" objects="1" scenarios="1"/>
  <phoneticPr fontId="0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U26"/>
  <sheetViews>
    <sheetView tabSelected="1" zoomScale="85" zoomScaleNormal="85" workbookViewId="0">
      <selection activeCell="G5" sqref="G5"/>
    </sheetView>
  </sheetViews>
  <sheetFormatPr baseColWidth="10" defaultRowHeight="16.5"/>
  <cols>
    <col min="1" max="1" width="27" style="94" customWidth="1"/>
    <col min="2" max="2" width="29.7109375" style="95" bestFit="1" customWidth="1"/>
    <col min="3" max="3" width="29.42578125" style="95" bestFit="1" customWidth="1"/>
    <col min="4" max="6" width="29.7109375" style="95" bestFit="1" customWidth="1"/>
    <col min="7" max="7" width="29.42578125" style="95" bestFit="1" customWidth="1"/>
    <col min="8" max="8" width="22.42578125" style="95" customWidth="1"/>
    <col min="9" max="9" width="11.42578125" style="95"/>
    <col min="10" max="10" width="24.42578125" style="95" customWidth="1"/>
    <col min="11" max="11" width="11.42578125" style="95"/>
    <col min="12" max="12" width="21.7109375" style="95" customWidth="1"/>
    <col min="13" max="13" width="11.42578125" style="95"/>
    <col min="14" max="14" width="22" style="95" customWidth="1"/>
    <col min="15" max="15" width="11.42578125" style="95"/>
    <col min="16" max="16" width="22" style="95" customWidth="1"/>
    <col min="17" max="17" width="11.42578125" style="95"/>
    <col min="18" max="18" width="22.85546875" style="95" customWidth="1"/>
    <col min="19" max="19" width="11.42578125" style="95"/>
    <col min="20" max="20" width="18.85546875" style="95" customWidth="1"/>
    <col min="21" max="16384" width="11.42578125" style="95"/>
  </cols>
  <sheetData>
    <row r="2" spans="1:21">
      <c r="A2" s="94" t="s">
        <v>141</v>
      </c>
    </row>
    <row r="3" spans="1:21">
      <c r="A3" s="94" t="s">
        <v>142</v>
      </c>
      <c r="B3" s="95">
        <v>15</v>
      </c>
    </row>
    <row r="5" spans="1:21">
      <c r="A5" s="94" t="s">
        <v>143</v>
      </c>
      <c r="B5" s="95" t="s">
        <v>144</v>
      </c>
    </row>
    <row r="8" spans="1:21">
      <c r="A8" s="94" t="s">
        <v>145</v>
      </c>
      <c r="B8" s="95" t="s">
        <v>156</v>
      </c>
      <c r="C8" s="95" t="s">
        <v>168</v>
      </c>
      <c r="D8" s="95" t="s">
        <v>159</v>
      </c>
      <c r="E8" s="95" t="s">
        <v>157</v>
      </c>
      <c r="F8" s="95" t="s">
        <v>158</v>
      </c>
      <c r="G8" s="95" t="s">
        <v>160</v>
      </c>
      <c r="H8" s="95" t="s">
        <v>170</v>
      </c>
    </row>
    <row r="9" spans="1:21">
      <c r="A9" s="94" t="s">
        <v>146</v>
      </c>
      <c r="B9" s="95">
        <v>2</v>
      </c>
      <c r="C9" s="94">
        <v>-1.3846153846148106</v>
      </c>
      <c r="D9" s="95">
        <v>-4.4000000000000004</v>
      </c>
      <c r="E9" s="95">
        <v>7.2</v>
      </c>
      <c r="F9" s="95">
        <v>-1.8</v>
      </c>
      <c r="G9" s="95">
        <v>-1.7</v>
      </c>
      <c r="H9" s="95">
        <v>-2.7</v>
      </c>
    </row>
    <row r="10" spans="1:21">
      <c r="A10" s="94" t="s">
        <v>147</v>
      </c>
      <c r="B10" s="95">
        <v>16776.2</v>
      </c>
      <c r="C10" s="94">
        <v>16800.81818181818</v>
      </c>
      <c r="D10" s="95">
        <v>16774.099999999999</v>
      </c>
      <c r="E10" s="95">
        <v>16813.8</v>
      </c>
      <c r="F10" s="95">
        <v>16771.400000000001</v>
      </c>
      <c r="G10" s="95">
        <v>16784</v>
      </c>
      <c r="H10" s="95">
        <v>16764</v>
      </c>
    </row>
    <row r="12" spans="1:21" ht="17.25" thickBot="1"/>
    <row r="13" spans="1:21" s="94" customFormat="1" ht="17.25" thickBot="1">
      <c r="A13" s="94" t="s">
        <v>14</v>
      </c>
      <c r="B13" s="107" t="s">
        <v>148</v>
      </c>
      <c r="C13" s="107" t="s">
        <v>39</v>
      </c>
      <c r="D13" s="107" t="s">
        <v>149</v>
      </c>
      <c r="E13" s="107" t="s">
        <v>39</v>
      </c>
      <c r="F13" s="107" t="s">
        <v>150</v>
      </c>
      <c r="G13" s="107" t="s">
        <v>39</v>
      </c>
      <c r="H13" s="107" t="s">
        <v>151</v>
      </c>
      <c r="I13" s="107" t="s">
        <v>39</v>
      </c>
      <c r="J13" s="107" t="s">
        <v>152</v>
      </c>
      <c r="K13" s="108" t="s">
        <v>39</v>
      </c>
      <c r="L13" s="107" t="s">
        <v>153</v>
      </c>
      <c r="M13" s="108" t="s">
        <v>39</v>
      </c>
      <c r="N13" s="107" t="s">
        <v>154</v>
      </c>
      <c r="O13" s="108" t="s">
        <v>39</v>
      </c>
      <c r="P13" s="107" t="s">
        <v>155</v>
      </c>
      <c r="Q13" s="108" t="s">
        <v>39</v>
      </c>
      <c r="R13" s="107" t="s">
        <v>162</v>
      </c>
      <c r="S13" s="107" t="s">
        <v>39</v>
      </c>
      <c r="T13" s="111" t="s">
        <v>169</v>
      </c>
      <c r="U13" s="111" t="s">
        <v>39</v>
      </c>
    </row>
    <row r="14" spans="1:21">
      <c r="B14" s="104">
        <v>0</v>
      </c>
      <c r="C14" s="102">
        <v>0</v>
      </c>
      <c r="D14" s="104">
        <v>0.19996</v>
      </c>
      <c r="E14" s="102">
        <v>20</v>
      </c>
      <c r="F14" s="104">
        <v>0</v>
      </c>
      <c r="G14" s="102">
        <v>0</v>
      </c>
      <c r="H14" s="104">
        <v>0</v>
      </c>
      <c r="I14" s="102">
        <v>0</v>
      </c>
      <c r="J14" s="104">
        <v>0</v>
      </c>
      <c r="K14" s="105">
        <v>0</v>
      </c>
      <c r="L14" s="104">
        <v>0</v>
      </c>
      <c r="M14" s="105">
        <v>0</v>
      </c>
      <c r="N14" s="104">
        <v>0</v>
      </c>
      <c r="O14" s="105">
        <v>0</v>
      </c>
      <c r="P14" s="104">
        <v>0</v>
      </c>
      <c r="Q14" s="106">
        <v>0</v>
      </c>
      <c r="R14" s="104">
        <v>0</v>
      </c>
      <c r="S14" s="102">
        <v>0</v>
      </c>
      <c r="T14" s="104">
        <v>0</v>
      </c>
      <c r="U14" s="102">
        <v>0</v>
      </c>
    </row>
    <row r="15" spans="1:21">
      <c r="B15" s="96">
        <v>0.19708999999999999</v>
      </c>
      <c r="C15" s="97">
        <v>200</v>
      </c>
      <c r="D15" s="96">
        <v>0.40044000000000002</v>
      </c>
      <c r="E15" s="97">
        <v>40</v>
      </c>
      <c r="F15" s="96">
        <v>4.9806666666666666E-2</v>
      </c>
      <c r="G15" s="97">
        <v>5</v>
      </c>
      <c r="H15" s="96">
        <v>5.0143333333333338E-2</v>
      </c>
      <c r="I15" s="97">
        <v>5</v>
      </c>
      <c r="J15" s="96">
        <v>0.20452999999999999</v>
      </c>
      <c r="K15" s="98">
        <v>5</v>
      </c>
      <c r="L15" s="96">
        <v>0.20001000000000002</v>
      </c>
      <c r="M15" s="98">
        <v>5</v>
      </c>
      <c r="N15" s="96">
        <v>0.19967333333333334</v>
      </c>
      <c r="O15" s="98">
        <v>5</v>
      </c>
      <c r="P15" s="96">
        <v>0.16008333333333333</v>
      </c>
      <c r="Q15" s="103">
        <v>2</v>
      </c>
      <c r="R15" s="96">
        <v>0.10019</v>
      </c>
      <c r="S15" s="97">
        <v>1</v>
      </c>
      <c r="T15" s="96">
        <v>0.2</v>
      </c>
      <c r="U15" s="97">
        <v>1</v>
      </c>
    </row>
    <row r="16" spans="1:21">
      <c r="B16" s="96">
        <v>0.39234999999999998</v>
      </c>
      <c r="C16" s="97">
        <v>400</v>
      </c>
      <c r="D16" s="96">
        <v>0.60070000000000001</v>
      </c>
      <c r="E16" s="97">
        <v>60</v>
      </c>
      <c r="F16" s="96">
        <v>9.9906333333333333E-2</v>
      </c>
      <c r="G16" s="97">
        <v>10</v>
      </c>
      <c r="H16" s="96">
        <v>0.10004333333333333</v>
      </c>
      <c r="I16" s="97">
        <v>10</v>
      </c>
      <c r="J16" s="96">
        <v>0.40893000000000002</v>
      </c>
      <c r="K16" s="98">
        <v>10</v>
      </c>
      <c r="L16" s="96">
        <v>0.39996333333333339</v>
      </c>
      <c r="M16" s="98">
        <v>10</v>
      </c>
      <c r="N16" s="96">
        <v>0.39951999999999993</v>
      </c>
      <c r="O16" s="98">
        <v>10</v>
      </c>
      <c r="P16" s="96">
        <v>0.31995666666666667</v>
      </c>
      <c r="Q16" s="103">
        <v>4</v>
      </c>
      <c r="R16" s="96">
        <v>0.20041</v>
      </c>
      <c r="S16" s="97">
        <v>2</v>
      </c>
      <c r="T16" s="96">
        <v>0.4</v>
      </c>
      <c r="U16" s="97">
        <v>2</v>
      </c>
    </row>
    <row r="17" spans="2:21">
      <c r="B17" s="96">
        <v>0.58686000000000005</v>
      </c>
      <c r="C17" s="97">
        <v>600</v>
      </c>
      <c r="D17" s="96">
        <v>0.80128999999999995</v>
      </c>
      <c r="E17" s="97">
        <v>80</v>
      </c>
      <c r="F17" s="96">
        <v>0.14996666666666666</v>
      </c>
      <c r="G17" s="97">
        <v>15</v>
      </c>
      <c r="H17" s="96">
        <v>0.15001666666666666</v>
      </c>
      <c r="I17" s="97">
        <v>15</v>
      </c>
      <c r="J17" s="96">
        <v>0.61309999999999998</v>
      </c>
      <c r="K17" s="98">
        <v>15</v>
      </c>
      <c r="L17" s="96">
        <v>0.59997</v>
      </c>
      <c r="M17" s="98">
        <v>15</v>
      </c>
      <c r="N17" s="96">
        <v>0.59928666666666663</v>
      </c>
      <c r="O17" s="98">
        <v>15</v>
      </c>
      <c r="P17" s="96">
        <v>0.47995333333333329</v>
      </c>
      <c r="Q17" s="103">
        <v>6</v>
      </c>
      <c r="R17" s="96">
        <v>0.30064000000000002</v>
      </c>
      <c r="S17" s="97">
        <v>3</v>
      </c>
      <c r="T17" s="96">
        <v>0.6</v>
      </c>
      <c r="U17" s="97">
        <v>3</v>
      </c>
    </row>
    <row r="18" spans="2:21">
      <c r="B18" s="96">
        <v>0.78071000000000002</v>
      </c>
      <c r="C18" s="97">
        <v>800</v>
      </c>
      <c r="D18" s="96">
        <v>1.00224</v>
      </c>
      <c r="E18" s="97">
        <v>100</v>
      </c>
      <c r="F18" s="96">
        <v>0.20003333333333337</v>
      </c>
      <c r="G18" s="97">
        <v>20</v>
      </c>
      <c r="H18" s="96">
        <v>0.19991999999999999</v>
      </c>
      <c r="I18" s="97">
        <v>20</v>
      </c>
      <c r="J18" s="96">
        <v>0.81706000000000001</v>
      </c>
      <c r="K18" s="98">
        <v>20</v>
      </c>
      <c r="L18" s="96">
        <v>0.80007000000000017</v>
      </c>
      <c r="M18" s="98">
        <v>20</v>
      </c>
      <c r="N18" s="96">
        <v>0.79903666666666673</v>
      </c>
      <c r="O18" s="98">
        <v>20</v>
      </c>
      <c r="P18" s="96">
        <v>0.63990333333333338</v>
      </c>
      <c r="Q18" s="103">
        <v>8</v>
      </c>
      <c r="R18" s="96">
        <v>0.40079999999999999</v>
      </c>
      <c r="S18" s="97">
        <v>4</v>
      </c>
      <c r="T18" s="96">
        <v>0.8</v>
      </c>
      <c r="U18" s="97">
        <v>4</v>
      </c>
    </row>
    <row r="19" spans="2:21">
      <c r="B19" s="96">
        <v>0.97392000000000001</v>
      </c>
      <c r="C19" s="97">
        <v>1000</v>
      </c>
      <c r="D19" s="96">
        <v>1.2029000000000001</v>
      </c>
      <c r="E19" s="97">
        <v>120</v>
      </c>
      <c r="F19" s="96">
        <v>0.25020666666666663</v>
      </c>
      <c r="G19" s="97">
        <v>25</v>
      </c>
      <c r="H19" s="96">
        <v>0.24998333333333334</v>
      </c>
      <c r="I19" s="97">
        <v>25</v>
      </c>
      <c r="J19" s="96">
        <v>1.02153</v>
      </c>
      <c r="K19" s="98">
        <v>25</v>
      </c>
      <c r="L19" s="96">
        <v>1.0003166666666665</v>
      </c>
      <c r="M19" s="98">
        <v>25</v>
      </c>
      <c r="N19" s="96">
        <v>0.99916666666666665</v>
      </c>
      <c r="O19" s="98">
        <v>25</v>
      </c>
      <c r="P19" s="96">
        <v>0.79992999999999992</v>
      </c>
      <c r="Q19" s="103">
        <v>10</v>
      </c>
      <c r="R19" s="96">
        <v>0.50136999999999998</v>
      </c>
      <c r="S19" s="97">
        <v>5</v>
      </c>
      <c r="T19" s="96">
        <v>1</v>
      </c>
      <c r="U19" s="97">
        <v>5</v>
      </c>
    </row>
    <row r="20" spans="2:21">
      <c r="B20" s="96">
        <v>1.1666000000000001</v>
      </c>
      <c r="C20" s="97">
        <v>1200</v>
      </c>
      <c r="D20" s="96">
        <v>1.6038600000000001</v>
      </c>
      <c r="E20" s="97">
        <v>160</v>
      </c>
      <c r="F20" s="96">
        <v>0.30025333333333332</v>
      </c>
      <c r="G20" s="97">
        <v>30</v>
      </c>
      <c r="H20" s="96">
        <v>0.30001666666666665</v>
      </c>
      <c r="I20" s="97">
        <v>30</v>
      </c>
      <c r="J20" s="96">
        <v>1.22587</v>
      </c>
      <c r="K20" s="98">
        <v>30</v>
      </c>
      <c r="L20" s="96">
        <v>1.2006600000000001</v>
      </c>
      <c r="M20" s="98">
        <v>30</v>
      </c>
      <c r="N20" s="96">
        <v>1.1994263333333333</v>
      </c>
      <c r="O20" s="98">
        <v>30</v>
      </c>
      <c r="P20" s="96">
        <v>0.95994000000000002</v>
      </c>
      <c r="Q20" s="103">
        <v>12</v>
      </c>
      <c r="R20" s="96">
        <v>0.60126999999999997</v>
      </c>
      <c r="S20" s="97">
        <v>6</v>
      </c>
      <c r="T20" s="96">
        <v>1.2</v>
      </c>
      <c r="U20" s="97">
        <v>6</v>
      </c>
    </row>
    <row r="21" spans="2:21">
      <c r="B21" s="101">
        <v>1.3588899999999999</v>
      </c>
      <c r="C21" s="102">
        <v>1400</v>
      </c>
      <c r="D21" s="96">
        <v>2.0059399999999998</v>
      </c>
      <c r="E21" s="97">
        <v>200</v>
      </c>
      <c r="F21" s="96">
        <v>0.40052666666666664</v>
      </c>
      <c r="G21" s="97">
        <v>40</v>
      </c>
      <c r="H21" s="96">
        <v>0.40016999999999997</v>
      </c>
      <c r="I21" s="97">
        <v>40</v>
      </c>
      <c r="J21" s="96">
        <v>1.42991</v>
      </c>
      <c r="K21" s="98">
        <v>35</v>
      </c>
      <c r="L21" s="96">
        <v>1.6013566666666665</v>
      </c>
      <c r="M21" s="98">
        <v>40</v>
      </c>
      <c r="N21" s="96">
        <v>1.59927</v>
      </c>
      <c r="O21" s="98">
        <v>40</v>
      </c>
      <c r="P21" s="96">
        <v>1.2800733333333334</v>
      </c>
      <c r="Q21" s="103">
        <v>16</v>
      </c>
      <c r="R21" s="96">
        <v>0.80176999999999998</v>
      </c>
      <c r="S21" s="97">
        <v>8</v>
      </c>
      <c r="T21" s="101">
        <v>1.4</v>
      </c>
      <c r="U21" s="102">
        <v>7</v>
      </c>
    </row>
    <row r="22" spans="2:21">
      <c r="B22" s="96">
        <v>1.55084</v>
      </c>
      <c r="C22" s="97">
        <v>1600</v>
      </c>
      <c r="D22" s="96"/>
      <c r="E22" s="99"/>
      <c r="F22" s="96">
        <v>0.50104666666666653</v>
      </c>
      <c r="G22" s="97">
        <v>50</v>
      </c>
      <c r="H22" s="96">
        <v>0.50029333333333337</v>
      </c>
      <c r="I22" s="97">
        <v>50</v>
      </c>
      <c r="J22" s="96">
        <v>1.6344700000000001</v>
      </c>
      <c r="K22" s="98">
        <v>40</v>
      </c>
      <c r="L22" s="96">
        <v>2.0024133333333332</v>
      </c>
      <c r="M22" s="98">
        <v>50</v>
      </c>
      <c r="N22" s="96">
        <v>1.9997066666666665</v>
      </c>
      <c r="O22" s="98">
        <v>50</v>
      </c>
      <c r="P22" s="96">
        <v>1.60046</v>
      </c>
      <c r="Q22" s="103">
        <v>20</v>
      </c>
      <c r="R22" s="96">
        <v>1.00231</v>
      </c>
      <c r="S22" s="97">
        <v>10</v>
      </c>
      <c r="T22" s="96">
        <v>1.6</v>
      </c>
      <c r="U22" s="97">
        <v>8</v>
      </c>
    </row>
    <row r="23" spans="2:21">
      <c r="B23" s="99">
        <v>1.74231</v>
      </c>
      <c r="C23" s="97">
        <v>1800</v>
      </c>
      <c r="D23" s="99"/>
      <c r="E23" s="99"/>
      <c r="F23" s="99"/>
      <c r="G23" s="99"/>
      <c r="H23" s="99"/>
      <c r="I23" s="99"/>
      <c r="J23" s="96">
        <v>1.839</v>
      </c>
      <c r="K23" s="98">
        <v>45</v>
      </c>
      <c r="L23" s="96"/>
      <c r="M23" s="99"/>
      <c r="N23" s="96"/>
      <c r="O23" s="98"/>
      <c r="R23" s="96">
        <v>1.20285</v>
      </c>
      <c r="S23" s="97">
        <v>12</v>
      </c>
      <c r="T23" s="99">
        <v>1.8</v>
      </c>
      <c r="U23" s="97">
        <v>9</v>
      </c>
    </row>
    <row r="24" spans="2:21">
      <c r="B24" s="96">
        <v>1.9335800000000001</v>
      </c>
      <c r="C24" s="97">
        <v>2000</v>
      </c>
      <c r="D24" s="99"/>
      <c r="E24" s="99"/>
      <c r="F24" s="99"/>
      <c r="G24" s="99"/>
      <c r="H24" s="99"/>
      <c r="I24" s="99"/>
      <c r="J24" s="96">
        <v>2.04305</v>
      </c>
      <c r="K24" s="98">
        <v>50</v>
      </c>
      <c r="L24" s="96"/>
      <c r="M24" s="99"/>
      <c r="N24" s="96"/>
      <c r="O24" s="98"/>
      <c r="R24" s="96">
        <v>1.50457</v>
      </c>
      <c r="S24" s="97">
        <v>15</v>
      </c>
      <c r="T24" s="96">
        <v>2</v>
      </c>
      <c r="U24" s="97">
        <v>10</v>
      </c>
    </row>
    <row r="25" spans="2:21">
      <c r="B25" s="99"/>
      <c r="C25" s="99"/>
      <c r="R25" s="96">
        <v>1.6039399999999999</v>
      </c>
      <c r="S25" s="97">
        <v>16</v>
      </c>
    </row>
    <row r="26" spans="2:21">
      <c r="B26" s="99"/>
      <c r="C26" s="99"/>
      <c r="R26" s="96">
        <v>2.0053200000000002</v>
      </c>
      <c r="S26" s="97">
        <v>20</v>
      </c>
    </row>
  </sheetData>
  <phoneticPr fontId="2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4"/>
  <sheetViews>
    <sheetView workbookViewId="0">
      <selection activeCell="A5" sqref="A5"/>
    </sheetView>
  </sheetViews>
  <sheetFormatPr baseColWidth="10" defaultColWidth="11.42578125" defaultRowHeight="12.75"/>
  <sheetData>
    <row r="1" spans="1:2">
      <c r="A1" t="s">
        <v>22</v>
      </c>
    </row>
    <row r="2" spans="1:2">
      <c r="A2" t="s">
        <v>23</v>
      </c>
    </row>
    <row r="3" spans="1:2">
      <c r="B3" t="s">
        <v>24</v>
      </c>
    </row>
    <row r="4" spans="1:2">
      <c r="A4" t="s">
        <v>25</v>
      </c>
    </row>
  </sheetData>
  <phoneticPr fontId="0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Saisie des valeurs</vt:lpstr>
      <vt:lpstr>PV Francais</vt:lpstr>
      <vt:lpstr>PV English</vt:lpstr>
      <vt:lpstr>PV Español</vt:lpstr>
      <vt:lpstr>Liste de choix</vt:lpstr>
      <vt:lpstr>Configuration</vt:lpstr>
      <vt:lpstr>A faire</vt:lpstr>
      <vt:lpstr>Liste_Afficheur_ID</vt:lpstr>
      <vt:lpstr>Liste_Capteur_ID</vt:lpstr>
      <vt:lpstr>Liste_Controleur</vt:lpstr>
      <vt:lpstr>Liste_Peson_ID</vt:lpstr>
      <vt:lpstr>Liste_Pupitre</vt:lpstr>
      <vt:lpstr>'PV English'!Zone_d_impression</vt:lpstr>
      <vt:lpstr>'PV Español'!Zone_d_impression</vt:lpstr>
      <vt:lpstr>'PV Francais'!Zone_d_impression</vt:lpstr>
      <vt:lpstr>'Saisie des valeurs'!Zone_d_impression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Costa</dc:creator>
  <cp:lastModifiedBy>Administrateur</cp:lastModifiedBy>
  <cp:lastPrinted>2007-12-06T13:48:27Z</cp:lastPrinted>
  <dcterms:created xsi:type="dcterms:W3CDTF">1999-04-20T15:38:02Z</dcterms:created>
  <dcterms:modified xsi:type="dcterms:W3CDTF">2014-09-25T06:36:53Z</dcterms:modified>
</cp:coreProperties>
</file>